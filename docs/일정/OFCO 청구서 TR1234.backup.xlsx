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_dash-main\docs\일정\"/>
    </mc:Choice>
  </mc:AlternateContent>
  <xr:revisionPtr revIDLastSave="0" documentId="8_{D24B51FB-C151-491D-838F-5516509CA829}" xr6:coauthVersionLast="47" xr6:coauthVersionMax="47" xr10:uidLastSave="{00000000-0000-0000-0000-000000000000}"/>
  <bookViews>
    <workbookView xWindow="28692" yWindow="1332" windowWidth="29016" windowHeight="15696" xr2:uid="{CFC4F3CF-149A-4EBA-9E96-898E7DB30F27}"/>
  </bookViews>
  <sheets>
    <sheet name="OFCO INVOICE ALL (4)" sheetId="1" r:id="rId1"/>
  </sheets>
  <definedNames>
    <definedName name="_xlnm._FilterDatabase" localSheetId="0" hidden="1">'OFCO INVOICE ALL (4)'!$A$1:$EM$1</definedName>
    <definedName name="_xlnm.Print_Area" localSheetId="0">'OFCO INVOICE ALL (4)'!$A$1:$DZ$1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V49" i="1" l="1"/>
  <c r="DS49" i="1"/>
  <c r="DR49" i="1"/>
  <c r="DQ49" i="1"/>
  <c r="DT49" i="1" s="1"/>
  <c r="DP49" i="1"/>
  <c r="DL49" i="1"/>
  <c r="DK49" i="1" a="1"/>
  <c r="DK49" i="1" s="1"/>
  <c r="DJ49" i="1"/>
  <c r="DN49" i="1" s="1"/>
  <c r="CZ49" i="1"/>
  <c r="DA49" i="1" s="1"/>
  <c r="DX49" i="1" s="1"/>
  <c r="CX49" i="1"/>
  <c r="DV48" i="1"/>
  <c r="DT48" i="1"/>
  <c r="DS48" i="1"/>
  <c r="DR48" i="1"/>
  <c r="DQ48" i="1"/>
  <c r="DP48" i="1"/>
  <c r="DL48" i="1"/>
  <c r="DK48" i="1" a="1"/>
  <c r="DK48" i="1" s="1"/>
  <c r="CZ48" i="1"/>
  <c r="DA48" i="1" s="1"/>
  <c r="DX48" i="1" s="1"/>
  <c r="CX48" i="1"/>
  <c r="DJ48" i="1" s="1"/>
  <c r="DV47" i="1"/>
  <c r="DS47" i="1"/>
  <c r="DR47" i="1"/>
  <c r="DQ47" i="1"/>
  <c r="DP47" i="1"/>
  <c r="DT47" i="1" s="1"/>
  <c r="DU47" i="1" s="1"/>
  <c r="DL47" i="1"/>
  <c r="DK47" i="1" a="1"/>
  <c r="DK47" i="1" s="1"/>
  <c r="DM47" i="1" s="1"/>
  <c r="DJ47" i="1"/>
  <c r="DN47" i="1" s="1"/>
  <c r="DA47" i="1"/>
  <c r="DX47" i="1" s="1"/>
  <c r="CZ47" i="1"/>
  <c r="DW47" i="1" s="1"/>
  <c r="CX47" i="1"/>
  <c r="DV46" i="1"/>
  <c r="DS46" i="1"/>
  <c r="DR46" i="1"/>
  <c r="DQ46" i="1"/>
  <c r="DP46" i="1"/>
  <c r="DT46" i="1" s="1"/>
  <c r="DL46" i="1"/>
  <c r="DK46" i="1"/>
  <c r="DK46" i="1" a="1"/>
  <c r="DA46" i="1"/>
  <c r="DX46" i="1" s="1"/>
  <c r="CZ46" i="1"/>
  <c r="DW46" i="1" s="1"/>
  <c r="CX46" i="1"/>
  <c r="DJ46" i="1" s="1"/>
  <c r="DV45" i="1"/>
  <c r="DS45" i="1"/>
  <c r="DR45" i="1"/>
  <c r="DQ45" i="1"/>
  <c r="DP45" i="1"/>
  <c r="DT45" i="1" s="1"/>
  <c r="DL45" i="1"/>
  <c r="DK45" i="1"/>
  <c r="DK45" i="1" a="1"/>
  <c r="DA45" i="1"/>
  <c r="DX45" i="1" s="1"/>
  <c r="CZ45" i="1"/>
  <c r="DW45" i="1" s="1"/>
  <c r="CX45" i="1"/>
  <c r="DJ45" i="1" s="1"/>
  <c r="DV44" i="1"/>
  <c r="DS44" i="1"/>
  <c r="DR44" i="1"/>
  <c r="DQ44" i="1"/>
  <c r="DP44" i="1"/>
  <c r="DT44" i="1" s="1"/>
  <c r="DL44" i="1"/>
  <c r="DK44" i="1"/>
  <c r="DK44" i="1" a="1"/>
  <c r="DJ44" i="1"/>
  <c r="DN44" i="1" s="1"/>
  <c r="DA44" i="1"/>
  <c r="DX44" i="1" s="1"/>
  <c r="CZ44" i="1"/>
  <c r="DW44" i="1" s="1"/>
  <c r="CX44" i="1"/>
  <c r="DV43" i="1"/>
  <c r="DS43" i="1"/>
  <c r="DT43" i="1" s="1"/>
  <c r="DR43" i="1"/>
  <c r="DQ43" i="1"/>
  <c r="DP43" i="1"/>
  <c r="DL43" i="1"/>
  <c r="DK43" i="1"/>
  <c r="DK43" i="1" a="1"/>
  <c r="DA43" i="1"/>
  <c r="DX43" i="1" s="1"/>
  <c r="CZ43" i="1"/>
  <c r="DW43" i="1" s="1"/>
  <c r="CX43" i="1"/>
  <c r="DJ43" i="1" s="1"/>
  <c r="DV42" i="1"/>
  <c r="DS42" i="1"/>
  <c r="DR42" i="1"/>
  <c r="DQ42" i="1"/>
  <c r="DP42" i="1"/>
  <c r="DT42" i="1" s="1"/>
  <c r="DL42" i="1"/>
  <c r="DK42" i="1"/>
  <c r="DK42" i="1" a="1"/>
  <c r="CZ42" i="1"/>
  <c r="DA42" i="1" s="1"/>
  <c r="DX42" i="1" s="1"/>
  <c r="CX42" i="1"/>
  <c r="DJ42" i="1" s="1"/>
  <c r="DV41" i="1"/>
  <c r="DS41" i="1"/>
  <c r="DR41" i="1"/>
  <c r="DQ41" i="1"/>
  <c r="DP41" i="1"/>
  <c r="DT41" i="1" s="1"/>
  <c r="DU41" i="1" s="1"/>
  <c r="DL41" i="1"/>
  <c r="DK41" i="1" a="1"/>
  <c r="DK41" i="1" s="1"/>
  <c r="DM41" i="1" s="1"/>
  <c r="DO41" i="1" s="1"/>
  <c r="DJ41" i="1"/>
  <c r="DN41" i="1" s="1"/>
  <c r="DA41" i="1"/>
  <c r="DX41" i="1" s="1"/>
  <c r="CZ41" i="1"/>
  <c r="DW41" i="1" s="1"/>
  <c r="CX41" i="1"/>
  <c r="DV40" i="1"/>
  <c r="DS40" i="1"/>
  <c r="DR40" i="1"/>
  <c r="DQ40" i="1"/>
  <c r="DP40" i="1"/>
  <c r="DT40" i="1" s="1"/>
  <c r="DL40" i="1"/>
  <c r="DK40" i="1" a="1"/>
  <c r="DK40" i="1" s="1"/>
  <c r="DA40" i="1"/>
  <c r="DX40" i="1" s="1"/>
  <c r="CZ40" i="1"/>
  <c r="DW40" i="1" s="1"/>
  <c r="CX40" i="1"/>
  <c r="DJ40" i="1" s="1"/>
  <c r="DV39" i="1"/>
  <c r="DS39" i="1"/>
  <c r="DR39" i="1"/>
  <c r="DQ39" i="1"/>
  <c r="DP39" i="1"/>
  <c r="DT39" i="1" s="1"/>
  <c r="DL39" i="1"/>
  <c r="DK39" i="1"/>
  <c r="DK39" i="1" a="1"/>
  <c r="DA39" i="1"/>
  <c r="DX39" i="1" s="1"/>
  <c r="CZ39" i="1"/>
  <c r="DW39" i="1" s="1"/>
  <c r="CX39" i="1"/>
  <c r="DJ39" i="1" s="1"/>
  <c r="DV38" i="1"/>
  <c r="DS38" i="1"/>
  <c r="DR38" i="1"/>
  <c r="DQ38" i="1"/>
  <c r="DP38" i="1"/>
  <c r="DT38" i="1" s="1"/>
  <c r="DL38" i="1"/>
  <c r="DK38" i="1" a="1"/>
  <c r="DK38" i="1" s="1"/>
  <c r="DA38" i="1"/>
  <c r="DX38" i="1" s="1"/>
  <c r="CZ38" i="1"/>
  <c r="DW38" i="1" s="1"/>
  <c r="CX38" i="1"/>
  <c r="DJ38" i="1" s="1"/>
  <c r="DV37" i="1"/>
  <c r="DS37" i="1"/>
  <c r="DR37" i="1"/>
  <c r="DQ37" i="1"/>
  <c r="DP37" i="1"/>
  <c r="DT37" i="1" s="1"/>
  <c r="DL37" i="1"/>
  <c r="DK37" i="1" a="1"/>
  <c r="DK37" i="1" s="1"/>
  <c r="DJ37" i="1"/>
  <c r="DN37" i="1" s="1"/>
  <c r="DA37" i="1"/>
  <c r="DX37" i="1" s="1"/>
  <c r="CZ37" i="1"/>
  <c r="DW37" i="1" s="1"/>
  <c r="CX37" i="1"/>
  <c r="DV36" i="1"/>
  <c r="DT36" i="1"/>
  <c r="DS36" i="1"/>
  <c r="DR36" i="1"/>
  <c r="DQ36" i="1"/>
  <c r="DP36" i="1"/>
  <c r="DL36" i="1"/>
  <c r="DK36" i="1" a="1"/>
  <c r="DK36" i="1" s="1"/>
  <c r="DJ36" i="1"/>
  <c r="DN36" i="1" s="1"/>
  <c r="DA36" i="1"/>
  <c r="DX36" i="1" s="1"/>
  <c r="CZ36" i="1"/>
  <c r="DW36" i="1" s="1"/>
  <c r="CX36" i="1"/>
  <c r="DV35" i="1"/>
  <c r="DS35" i="1"/>
  <c r="DT35" i="1" s="1"/>
  <c r="DR35" i="1"/>
  <c r="DQ35" i="1"/>
  <c r="DP35" i="1"/>
  <c r="DL35" i="1"/>
  <c r="DK35" i="1"/>
  <c r="DK35" i="1" a="1"/>
  <c r="CZ35" i="1"/>
  <c r="DW35" i="1" s="1"/>
  <c r="CX35" i="1"/>
  <c r="DJ35" i="1" s="1"/>
  <c r="DV34" i="1"/>
  <c r="DS34" i="1"/>
  <c r="DR34" i="1"/>
  <c r="DQ34" i="1"/>
  <c r="DP34" i="1"/>
  <c r="DT34" i="1" s="1"/>
  <c r="DL34" i="1"/>
  <c r="DK34" i="1" a="1"/>
  <c r="DK34" i="1" s="1"/>
  <c r="DA34" i="1"/>
  <c r="DX34" i="1" s="1"/>
  <c r="CZ34" i="1"/>
  <c r="DW34" i="1" s="1"/>
  <c r="CX34" i="1"/>
  <c r="DJ34" i="1" s="1"/>
  <c r="DV33" i="1"/>
  <c r="DS33" i="1"/>
  <c r="DR33" i="1"/>
  <c r="DQ33" i="1"/>
  <c r="DP33" i="1"/>
  <c r="DT33" i="1" s="1"/>
  <c r="DU33" i="1" s="1"/>
  <c r="DL33" i="1"/>
  <c r="DK33" i="1" a="1"/>
  <c r="DK33" i="1" s="1"/>
  <c r="DM33" i="1" s="1"/>
  <c r="DO33" i="1" s="1"/>
  <c r="DJ33" i="1"/>
  <c r="DN33" i="1" s="1"/>
  <c r="DA33" i="1"/>
  <c r="DX33" i="1" s="1"/>
  <c r="CZ33" i="1"/>
  <c r="DW33" i="1" s="1"/>
  <c r="CX33" i="1"/>
  <c r="DV32" i="1"/>
  <c r="DS32" i="1"/>
  <c r="DR32" i="1"/>
  <c r="DQ32" i="1"/>
  <c r="DP32" i="1"/>
  <c r="DT32" i="1" s="1"/>
  <c r="DL32" i="1"/>
  <c r="DK32" i="1"/>
  <c r="DK32" i="1" a="1"/>
  <c r="DA32" i="1"/>
  <c r="DX32" i="1" s="1"/>
  <c r="CZ32" i="1"/>
  <c r="DW32" i="1" s="1"/>
  <c r="CX32" i="1"/>
  <c r="DJ32" i="1" s="1"/>
  <c r="DV31" i="1"/>
  <c r="DS31" i="1"/>
  <c r="DR31" i="1"/>
  <c r="DQ31" i="1"/>
  <c r="DP31" i="1"/>
  <c r="DT31" i="1" s="1"/>
  <c r="DL31" i="1"/>
  <c r="DK31" i="1"/>
  <c r="DK31" i="1" a="1"/>
  <c r="DJ31" i="1"/>
  <c r="DN31" i="1" s="1"/>
  <c r="DA31" i="1"/>
  <c r="DX31" i="1" s="1"/>
  <c r="CZ31" i="1"/>
  <c r="DW31" i="1" s="1"/>
  <c r="CX31" i="1"/>
  <c r="DV30" i="1"/>
  <c r="DS30" i="1"/>
  <c r="DR30" i="1"/>
  <c r="DT30" i="1" s="1"/>
  <c r="DQ30" i="1"/>
  <c r="DP30" i="1"/>
  <c r="DL30" i="1"/>
  <c r="DK30" i="1" a="1"/>
  <c r="DK30" i="1" s="1"/>
  <c r="CZ30" i="1"/>
  <c r="DA30" i="1" s="1"/>
  <c r="DX30" i="1" s="1"/>
  <c r="CX30" i="1"/>
  <c r="DJ30" i="1" s="1"/>
  <c r="DV29" i="1"/>
  <c r="DS29" i="1"/>
  <c r="DR29" i="1"/>
  <c r="DQ29" i="1"/>
  <c r="DP29" i="1"/>
  <c r="DT29" i="1" s="1"/>
  <c r="DL29" i="1"/>
  <c r="DK29" i="1" a="1"/>
  <c r="DK29" i="1" s="1"/>
  <c r="DJ29" i="1"/>
  <c r="DN29" i="1" s="1"/>
  <c r="DA29" i="1"/>
  <c r="DX29" i="1" s="1"/>
  <c r="CZ29" i="1"/>
  <c r="DW29" i="1" s="1"/>
  <c r="CX29" i="1"/>
  <c r="DV28" i="1"/>
  <c r="DT28" i="1"/>
  <c r="DS28" i="1"/>
  <c r="DR28" i="1"/>
  <c r="DQ28" i="1"/>
  <c r="DP28" i="1"/>
  <c r="DL28" i="1"/>
  <c r="DK28" i="1" a="1"/>
  <c r="DK28" i="1" s="1"/>
  <c r="DJ28" i="1"/>
  <c r="DN28" i="1" s="1"/>
  <c r="DA28" i="1"/>
  <c r="DX28" i="1" s="1"/>
  <c r="CZ28" i="1"/>
  <c r="DW28" i="1" s="1"/>
  <c r="CX28" i="1"/>
  <c r="DV27" i="1"/>
  <c r="DS27" i="1"/>
  <c r="DT27" i="1" s="1"/>
  <c r="DR27" i="1"/>
  <c r="DQ27" i="1"/>
  <c r="DP27" i="1"/>
  <c r="DL27" i="1"/>
  <c r="DK27" i="1"/>
  <c r="DK27" i="1" a="1"/>
  <c r="CZ27" i="1"/>
  <c r="DA27" i="1" s="1"/>
  <c r="DX27" i="1" s="1"/>
  <c r="CX27" i="1"/>
  <c r="DJ27" i="1" s="1"/>
  <c r="DV26" i="1"/>
  <c r="DS26" i="1"/>
  <c r="DR26" i="1"/>
  <c r="DQ26" i="1"/>
  <c r="DP26" i="1"/>
  <c r="DT26" i="1" s="1"/>
  <c r="DL26" i="1"/>
  <c r="DK26" i="1" a="1"/>
  <c r="DK26" i="1" s="1"/>
  <c r="DA26" i="1"/>
  <c r="DX26" i="1" s="1"/>
  <c r="CZ26" i="1"/>
  <c r="DW26" i="1" s="1"/>
  <c r="CX26" i="1"/>
  <c r="DJ26" i="1" s="1"/>
  <c r="DV25" i="1"/>
  <c r="DS25" i="1"/>
  <c r="DR25" i="1"/>
  <c r="DQ25" i="1"/>
  <c r="DP25" i="1"/>
  <c r="DT25" i="1" s="1"/>
  <c r="DU25" i="1" s="1"/>
  <c r="DL25" i="1"/>
  <c r="DK25" i="1" a="1"/>
  <c r="DK25" i="1" s="1"/>
  <c r="DM25" i="1" s="1"/>
  <c r="DJ25" i="1"/>
  <c r="DN25" i="1" s="1"/>
  <c r="DA25" i="1"/>
  <c r="DX25" i="1" s="1"/>
  <c r="CZ25" i="1"/>
  <c r="DW25" i="1" s="1"/>
  <c r="CX25" i="1"/>
  <c r="DV24" i="1"/>
  <c r="DS24" i="1"/>
  <c r="DR24" i="1"/>
  <c r="DQ24" i="1"/>
  <c r="DP24" i="1"/>
  <c r="DT24" i="1" s="1"/>
  <c r="DL24" i="1"/>
  <c r="DK24" i="1"/>
  <c r="DK24" i="1" a="1"/>
  <c r="DA24" i="1"/>
  <c r="DX24" i="1" s="1"/>
  <c r="CZ24" i="1"/>
  <c r="DW24" i="1" s="1"/>
  <c r="CX24" i="1"/>
  <c r="DJ24" i="1" s="1"/>
  <c r="DV23" i="1"/>
  <c r="DS23" i="1"/>
  <c r="DR23" i="1"/>
  <c r="DQ23" i="1"/>
  <c r="DP23" i="1"/>
  <c r="DT23" i="1" s="1"/>
  <c r="DL23" i="1"/>
  <c r="DK23" i="1"/>
  <c r="DK23" i="1" a="1"/>
  <c r="DJ23" i="1"/>
  <c r="DN23" i="1" s="1"/>
  <c r="DA23" i="1"/>
  <c r="DX23" i="1" s="1"/>
  <c r="CZ23" i="1"/>
  <c r="DW23" i="1" s="1"/>
  <c r="CX23" i="1"/>
  <c r="DV22" i="1"/>
  <c r="DS22" i="1"/>
  <c r="DR22" i="1"/>
  <c r="DT22" i="1" s="1"/>
  <c r="DQ22" i="1"/>
  <c r="DP22" i="1"/>
  <c r="DL22" i="1"/>
  <c r="DK22" i="1" a="1"/>
  <c r="DK22" i="1" s="1"/>
  <c r="CZ22" i="1"/>
  <c r="DA22" i="1" s="1"/>
  <c r="DX22" i="1" s="1"/>
  <c r="CX22" i="1"/>
  <c r="DJ22" i="1" s="1"/>
  <c r="DV21" i="1"/>
  <c r="DS21" i="1"/>
  <c r="DR21" i="1"/>
  <c r="DQ21" i="1"/>
  <c r="DP21" i="1"/>
  <c r="DT21" i="1" s="1"/>
  <c r="DL21" i="1"/>
  <c r="DK21" i="1" a="1"/>
  <c r="DK21" i="1" s="1"/>
  <c r="DJ21" i="1"/>
  <c r="DN21" i="1" s="1"/>
  <c r="DA21" i="1"/>
  <c r="DX21" i="1" s="1"/>
  <c r="CZ21" i="1"/>
  <c r="DW21" i="1" s="1"/>
  <c r="CX21" i="1"/>
  <c r="DV20" i="1"/>
  <c r="DT20" i="1"/>
  <c r="DS20" i="1"/>
  <c r="DR20" i="1"/>
  <c r="DQ20" i="1"/>
  <c r="DP20" i="1"/>
  <c r="DL20" i="1"/>
  <c r="DK20" i="1" a="1"/>
  <c r="DK20" i="1" s="1"/>
  <c r="DJ20" i="1"/>
  <c r="DN20" i="1" s="1"/>
  <c r="DA20" i="1"/>
  <c r="DX20" i="1" s="1"/>
  <c r="CZ20" i="1"/>
  <c r="DW20" i="1" s="1"/>
  <c r="CX20" i="1"/>
  <c r="DV19" i="1"/>
  <c r="DS19" i="1"/>
  <c r="DT19" i="1" s="1"/>
  <c r="DR19" i="1"/>
  <c r="DQ19" i="1"/>
  <c r="DP19" i="1"/>
  <c r="DL19" i="1"/>
  <c r="DK19" i="1"/>
  <c r="DK19" i="1" a="1"/>
  <c r="CZ19" i="1"/>
  <c r="DA19" i="1" s="1"/>
  <c r="DX19" i="1" s="1"/>
  <c r="CX19" i="1"/>
  <c r="DJ19" i="1" s="1"/>
  <c r="DV18" i="1"/>
  <c r="DS18" i="1"/>
  <c r="DR18" i="1"/>
  <c r="DQ18" i="1"/>
  <c r="DP18" i="1"/>
  <c r="DT18" i="1" s="1"/>
  <c r="DL18" i="1"/>
  <c r="DK18" i="1" a="1"/>
  <c r="DK18" i="1" s="1"/>
  <c r="DA18" i="1"/>
  <c r="DX18" i="1" s="1"/>
  <c r="CZ18" i="1"/>
  <c r="DW18" i="1" s="1"/>
  <c r="CX18" i="1"/>
  <c r="DJ18" i="1" s="1"/>
  <c r="DV17" i="1"/>
  <c r="DS17" i="1"/>
  <c r="DR17" i="1"/>
  <c r="DQ17" i="1"/>
  <c r="DP17" i="1"/>
  <c r="DT17" i="1" s="1"/>
  <c r="DU17" i="1" s="1"/>
  <c r="DL17" i="1"/>
  <c r="DK17" i="1" a="1"/>
  <c r="DK17" i="1" s="1"/>
  <c r="DM17" i="1" s="1"/>
  <c r="DO17" i="1" s="1"/>
  <c r="DJ17" i="1"/>
  <c r="DN17" i="1" s="1"/>
  <c r="DA17" i="1"/>
  <c r="DX17" i="1" s="1"/>
  <c r="CZ17" i="1"/>
  <c r="DW17" i="1" s="1"/>
  <c r="CX17" i="1"/>
  <c r="DV16" i="1"/>
  <c r="DS16" i="1"/>
  <c r="DR16" i="1"/>
  <c r="DQ16" i="1"/>
  <c r="DP16" i="1"/>
  <c r="DT16" i="1" s="1"/>
  <c r="DL16" i="1"/>
  <c r="DK16" i="1" a="1"/>
  <c r="DK16" i="1" s="1"/>
  <c r="DA16" i="1"/>
  <c r="DX16" i="1" s="1"/>
  <c r="CZ16" i="1"/>
  <c r="DW16" i="1" s="1"/>
  <c r="CX16" i="1"/>
  <c r="DJ16" i="1" s="1"/>
  <c r="DV15" i="1"/>
  <c r="DS15" i="1"/>
  <c r="DR15" i="1"/>
  <c r="DQ15" i="1"/>
  <c r="DP15" i="1"/>
  <c r="DT15" i="1" s="1"/>
  <c r="DL15" i="1"/>
  <c r="DK15" i="1"/>
  <c r="DK15" i="1" a="1"/>
  <c r="DJ15" i="1"/>
  <c r="DN15" i="1" s="1"/>
  <c r="DA15" i="1"/>
  <c r="DX15" i="1" s="1"/>
  <c r="CZ15" i="1"/>
  <c r="DW15" i="1" s="1"/>
  <c r="CX15" i="1"/>
  <c r="DV14" i="1"/>
  <c r="DS14" i="1"/>
  <c r="DR14" i="1"/>
  <c r="DT14" i="1" s="1"/>
  <c r="DQ14" i="1"/>
  <c r="DP14" i="1"/>
  <c r="DL14" i="1"/>
  <c r="DK14" i="1" a="1"/>
  <c r="DK14" i="1" s="1"/>
  <c r="DA14" i="1"/>
  <c r="DX14" i="1" s="1"/>
  <c r="CZ14" i="1"/>
  <c r="DW14" i="1" s="1"/>
  <c r="CX14" i="1"/>
  <c r="DJ14" i="1" s="1"/>
  <c r="EA13" i="1" a="1"/>
  <c r="EA13" i="1" s="1"/>
  <c r="DY13" i="1"/>
  <c r="DZ13" i="1" s="1"/>
  <c r="DS13" i="1"/>
  <c r="DR13" i="1"/>
  <c r="DQ13" i="1"/>
  <c r="DP13" i="1"/>
  <c r="DT13" i="1" s="1"/>
  <c r="DU13" i="1" s="1"/>
  <c r="DK13" i="1" a="1"/>
  <c r="DK13" i="1" s="1"/>
  <c r="DM13" i="1" s="1"/>
  <c r="DO13" i="1" s="1"/>
  <c r="DC13" i="1"/>
  <c r="DL13" i="1" s="1"/>
  <c r="DN13" i="1" s="1"/>
  <c r="I13" i="1"/>
  <c r="EA12" i="1" a="1"/>
  <c r="EA12" i="1" s="1"/>
  <c r="DZ12" i="1"/>
  <c r="DY12" i="1"/>
  <c r="DT12" i="1"/>
  <c r="DU12" i="1" s="1"/>
  <c r="DS12" i="1"/>
  <c r="DR12" i="1"/>
  <c r="DQ12" i="1"/>
  <c r="DP12" i="1"/>
  <c r="DL12" i="1"/>
  <c r="DN12" i="1" s="1"/>
  <c r="DK12" i="1" a="1"/>
  <c r="DK12" i="1" s="1"/>
  <c r="DM12" i="1" s="1"/>
  <c r="I12" i="1"/>
  <c r="EA11" i="1"/>
  <c r="EA11" i="1" a="1"/>
  <c r="DZ11" i="1"/>
  <c r="DY11" i="1"/>
  <c r="DS11" i="1"/>
  <c r="DR11" i="1"/>
  <c r="DQ11" i="1"/>
  <c r="DP11" i="1"/>
  <c r="DT11" i="1" s="1"/>
  <c r="DU11" i="1" s="1"/>
  <c r="DL11" i="1"/>
  <c r="DN11" i="1" s="1"/>
  <c r="DK11" i="1" a="1"/>
  <c r="DK11" i="1" s="1"/>
  <c r="DM11" i="1" s="1"/>
  <c r="DO11" i="1" s="1"/>
  <c r="I11" i="1"/>
  <c r="EA10" i="1"/>
  <c r="EA10" i="1" a="1"/>
  <c r="DY10" i="1"/>
  <c r="DZ10" i="1" s="1"/>
  <c r="DS10" i="1"/>
  <c r="DT10" i="1" s="1"/>
  <c r="DU10" i="1" s="1"/>
  <c r="DR10" i="1"/>
  <c r="DQ10" i="1"/>
  <c r="DP10" i="1"/>
  <c r="DN10" i="1"/>
  <c r="DL10" i="1"/>
  <c r="DK10" i="1"/>
  <c r="DM10" i="1" s="1"/>
  <c r="DO10" i="1" s="1"/>
  <c r="DK10" i="1" a="1"/>
  <c r="I10" i="1"/>
  <c r="EA9" i="1" a="1"/>
  <c r="EA9" i="1" s="1"/>
  <c r="DZ9" i="1"/>
  <c r="DY9" i="1"/>
  <c r="DU9" i="1"/>
  <c r="DT9" i="1"/>
  <c r="DS9" i="1"/>
  <c r="DR9" i="1"/>
  <c r="DQ9" i="1"/>
  <c r="DP9" i="1"/>
  <c r="DL9" i="1"/>
  <c r="DN9" i="1" s="1"/>
  <c r="DK9" i="1" a="1"/>
  <c r="DK9" i="1" s="1"/>
  <c r="DM9" i="1" s="1"/>
  <c r="DO9" i="1" s="1"/>
  <c r="I9" i="1"/>
  <c r="EA8" i="1" a="1"/>
  <c r="EA8" i="1" s="1"/>
  <c r="DY8" i="1"/>
  <c r="DZ8" i="1" s="1"/>
  <c r="DS8" i="1"/>
  <c r="DR8" i="1"/>
  <c r="DQ8" i="1"/>
  <c r="DP8" i="1"/>
  <c r="DT8" i="1" s="1"/>
  <c r="DU8" i="1" s="1"/>
  <c r="DN8" i="1"/>
  <c r="DM8" i="1"/>
  <c r="DO8" i="1" s="1"/>
  <c r="DL8" i="1"/>
  <c r="DK8" i="1"/>
  <c r="DK8" i="1" a="1"/>
  <c r="I8" i="1"/>
  <c r="EA7" i="1"/>
  <c r="EA7" i="1" a="1"/>
  <c r="DY7" i="1"/>
  <c r="DZ7" i="1" s="1"/>
  <c r="DS7" i="1"/>
  <c r="DR7" i="1"/>
  <c r="DQ7" i="1"/>
  <c r="DT7" i="1" s="1"/>
  <c r="DU7" i="1" s="1"/>
  <c r="DP7" i="1"/>
  <c r="DN7" i="1"/>
  <c r="DL7" i="1"/>
  <c r="DK7" i="1" a="1"/>
  <c r="DK7" i="1" s="1"/>
  <c r="DM7" i="1" s="1"/>
  <c r="DO7" i="1" s="1"/>
  <c r="I7" i="1"/>
  <c r="EA6" i="1" a="1"/>
  <c r="EA6" i="1" s="1"/>
  <c r="DZ6" i="1"/>
  <c r="DY6" i="1"/>
  <c r="DS6" i="1"/>
  <c r="DR6" i="1"/>
  <c r="DQ6" i="1"/>
  <c r="DP6" i="1"/>
  <c r="DT6" i="1" s="1"/>
  <c r="DU6" i="1" s="1"/>
  <c r="DN6" i="1"/>
  <c r="DL6" i="1"/>
  <c r="DK6" i="1" a="1"/>
  <c r="DK6" i="1" s="1"/>
  <c r="DM6" i="1" s="1"/>
  <c r="DO6" i="1" s="1"/>
  <c r="I6" i="1"/>
  <c r="EA5" i="1" a="1"/>
  <c r="EA5" i="1" s="1"/>
  <c r="DY5" i="1"/>
  <c r="DZ5" i="1" s="1"/>
  <c r="DS5" i="1"/>
  <c r="DR5" i="1"/>
  <c r="DQ5" i="1"/>
  <c r="DP5" i="1"/>
  <c r="DT5" i="1" s="1"/>
  <c r="DU5" i="1" s="1"/>
  <c r="DL5" i="1"/>
  <c r="DN5" i="1" s="1"/>
  <c r="DK5" i="1"/>
  <c r="DM5" i="1" s="1"/>
  <c r="DO5" i="1" s="1"/>
  <c r="DK5" i="1" a="1"/>
  <c r="I5" i="1"/>
  <c r="EA4" i="1"/>
  <c r="EA4" i="1" a="1"/>
  <c r="DZ4" i="1"/>
  <c r="DY4" i="1"/>
  <c r="DT4" i="1"/>
  <c r="DU4" i="1" s="1"/>
  <c r="DS4" i="1"/>
  <c r="DR4" i="1"/>
  <c r="DQ4" i="1"/>
  <c r="DP4" i="1"/>
  <c r="DL4" i="1"/>
  <c r="DN4" i="1" s="1"/>
  <c r="DK4" i="1" a="1"/>
  <c r="DK4" i="1" s="1"/>
  <c r="DM4" i="1" s="1"/>
  <c r="DO4" i="1" s="1"/>
  <c r="I4" i="1"/>
  <c r="EA3" i="1" a="1"/>
  <c r="EA3" i="1" s="1"/>
  <c r="DY3" i="1"/>
  <c r="DZ3" i="1" s="1"/>
  <c r="DS3" i="1"/>
  <c r="DR3" i="1"/>
  <c r="DQ3" i="1"/>
  <c r="DP3" i="1"/>
  <c r="DT3" i="1" s="1"/>
  <c r="DU3" i="1" s="1"/>
  <c r="DN3" i="1"/>
  <c r="DL3" i="1"/>
  <c r="DK3" i="1" a="1"/>
  <c r="DK3" i="1" s="1"/>
  <c r="DM3" i="1" s="1"/>
  <c r="DO3" i="1" s="1"/>
  <c r="I3" i="1"/>
  <c r="EA2" i="1"/>
  <c r="EA2" i="1" a="1"/>
  <c r="DY2" i="1"/>
  <c r="DZ2" i="1" s="1"/>
  <c r="DS2" i="1"/>
  <c r="DR2" i="1"/>
  <c r="DQ2" i="1"/>
  <c r="DT2" i="1" s="1"/>
  <c r="DU2" i="1" s="1"/>
  <c r="DP2" i="1"/>
  <c r="DN2" i="1"/>
  <c r="DL2" i="1"/>
  <c r="DK2" i="1"/>
  <c r="DM2" i="1" s="1"/>
  <c r="DO2" i="1" s="1"/>
  <c r="DK2" i="1" a="1"/>
  <c r="I2" i="1"/>
  <c r="DO25" i="1" l="1"/>
  <c r="DU38" i="1"/>
  <c r="DM38" i="1"/>
  <c r="DO38" i="1" s="1"/>
  <c r="DN38" i="1"/>
  <c r="DU18" i="1"/>
  <c r="DM18" i="1"/>
  <c r="DN18" i="1"/>
  <c r="DN24" i="1"/>
  <c r="DU24" i="1"/>
  <c r="DM24" i="1"/>
  <c r="DN27" i="1"/>
  <c r="DU27" i="1"/>
  <c r="DM27" i="1"/>
  <c r="DO27" i="1" s="1"/>
  <c r="DU30" i="1"/>
  <c r="DM30" i="1"/>
  <c r="DN30" i="1"/>
  <c r="DN39" i="1"/>
  <c r="DU39" i="1"/>
  <c r="DM39" i="1"/>
  <c r="DO39" i="1" s="1"/>
  <c r="DU42" i="1"/>
  <c r="DM42" i="1"/>
  <c r="DO42" i="1" s="1"/>
  <c r="DN42" i="1"/>
  <c r="DO12" i="1"/>
  <c r="DN19" i="1"/>
  <c r="DU19" i="1"/>
  <c r="DM19" i="1"/>
  <c r="DN45" i="1"/>
  <c r="DU45" i="1"/>
  <c r="DM45" i="1"/>
  <c r="DO45" i="1" s="1"/>
  <c r="DN16" i="1"/>
  <c r="DU16" i="1"/>
  <c r="DM16" i="1"/>
  <c r="DO16" i="1" s="1"/>
  <c r="DN22" i="1"/>
  <c r="DU22" i="1"/>
  <c r="DM22" i="1"/>
  <c r="DO22" i="1" s="1"/>
  <c r="DN43" i="1"/>
  <c r="DU43" i="1"/>
  <c r="DM43" i="1"/>
  <c r="DO43" i="1" s="1"/>
  <c r="DN48" i="1"/>
  <c r="DU48" i="1"/>
  <c r="DM48" i="1"/>
  <c r="DU34" i="1"/>
  <c r="DM34" i="1"/>
  <c r="DO34" i="1" s="1"/>
  <c r="DN34" i="1"/>
  <c r="DN40" i="1"/>
  <c r="DU40" i="1"/>
  <c r="DM40" i="1"/>
  <c r="DO47" i="1"/>
  <c r="DU14" i="1"/>
  <c r="DM14" i="1"/>
  <c r="DN14" i="1"/>
  <c r="DN46" i="1"/>
  <c r="DU46" i="1"/>
  <c r="DM46" i="1"/>
  <c r="DO46" i="1" s="1"/>
  <c r="DU26" i="1"/>
  <c r="DM26" i="1"/>
  <c r="DO26" i="1" s="1"/>
  <c r="DN26" i="1"/>
  <c r="DN32" i="1"/>
  <c r="DU32" i="1"/>
  <c r="DM32" i="1"/>
  <c r="DO32" i="1" s="1"/>
  <c r="DN35" i="1"/>
  <c r="DU35" i="1"/>
  <c r="DM35" i="1"/>
  <c r="DW19" i="1"/>
  <c r="DM21" i="1"/>
  <c r="DO21" i="1" s="1"/>
  <c r="DU21" i="1"/>
  <c r="DM29" i="1"/>
  <c r="DO29" i="1" s="1"/>
  <c r="DU29" i="1"/>
  <c r="DM37" i="1"/>
  <c r="DO37" i="1" s="1"/>
  <c r="DU37" i="1"/>
  <c r="DW27" i="1"/>
  <c r="DW42" i="1"/>
  <c r="DW48" i="1"/>
  <c r="DM49" i="1"/>
  <c r="DO49" i="1" s="1"/>
  <c r="DU49" i="1"/>
  <c r="DM20" i="1"/>
  <c r="DO20" i="1" s="1"/>
  <c r="DU20" i="1"/>
  <c r="DW22" i="1"/>
  <c r="DM28" i="1"/>
  <c r="DO28" i="1" s="1"/>
  <c r="DU28" i="1"/>
  <c r="DW30" i="1"/>
  <c r="DA35" i="1"/>
  <c r="DX35" i="1" s="1"/>
  <c r="DM36" i="1"/>
  <c r="DO36" i="1" s="1"/>
  <c r="DU36" i="1"/>
  <c r="DM44" i="1"/>
  <c r="DO44" i="1" s="1"/>
  <c r="DU44" i="1"/>
  <c r="DM15" i="1"/>
  <c r="DO15" i="1" s="1"/>
  <c r="DU15" i="1"/>
  <c r="DM23" i="1"/>
  <c r="DO23" i="1" s="1"/>
  <c r="DU23" i="1"/>
  <c r="DM31" i="1"/>
  <c r="DO31" i="1" s="1"/>
  <c r="DU31" i="1"/>
  <c r="DW49" i="1"/>
  <c r="DO35" i="1" l="1"/>
  <c r="DO40" i="1"/>
  <c r="DO30" i="1"/>
  <c r="DO18" i="1"/>
  <c r="DO14" i="1"/>
  <c r="DO19" i="1"/>
  <c r="DO24" i="1"/>
  <c r="DO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<sst xmlns="http://schemas.openxmlformats.org/spreadsheetml/2006/main" count="575" uniqueCount="251">
  <si>
    <t>전체 순번</t>
  </si>
  <si>
    <t>청구 회차</t>
  </si>
  <si>
    <t>NO</t>
  </si>
  <si>
    <t>Voyage No</t>
    <phoneticPr fontId="4" type="noConversion"/>
  </si>
  <si>
    <t>TR #</t>
    <phoneticPr fontId="4" type="noConversion"/>
  </si>
  <si>
    <t>SUBJECT</t>
  </si>
  <si>
    <t>INVOICE NUMBER</t>
  </si>
  <si>
    <t>INVOICE DATE</t>
  </si>
  <si>
    <t>INVOICE DATE_YEAR_MONTH</t>
  </si>
  <si>
    <t>COST MAIN</t>
  </si>
  <si>
    <t>COST CENTER A</t>
  </si>
  <si>
    <t>COST CENTER B</t>
  </si>
  <si>
    <t>PRICE CENTER</t>
  </si>
  <si>
    <t>AGENCY_FEE_FOR_CARGO_CLEARANCE_QTY</t>
  </si>
  <si>
    <t>AGENCY_FEE_FOR_CARGO_CLEARANCE_AMOUNT</t>
  </si>
  <si>
    <t>AGENCY_FEE_FOR_BERTHING_ARRANGEMENT_QTY</t>
  </si>
  <si>
    <t>AGENCY_FEE_FOR_BERTHING_ARRANGEMENT_AMOUNT</t>
  </si>
  <si>
    <t>AGENCY_FEE_FOR_FW_SUPPLY_ARRANGEMENT_QTY</t>
  </si>
  <si>
    <t>AGENCY_FEE_FOR_FW_SUPPLY_ARRANGEMENT_AMOUNT</t>
  </si>
  <si>
    <t>AGENCY_FOR_ARRANGEMENT_PTW_QTY</t>
  </si>
  <si>
    <t>AGENCY_FOR_ARRANGEMENT_PTW_AMOUNT</t>
  </si>
  <si>
    <t>YARD_QTY</t>
  </si>
  <si>
    <t>YARD_AMOUNT</t>
  </si>
  <si>
    <t>OFCO_HANDLING_FEE_QTY</t>
  </si>
  <si>
    <t>OFCO_HANDLING_FEE_AMOUNT</t>
  </si>
  <si>
    <t>SUPPLY_WATER_5001IG_QTY</t>
  </si>
  <si>
    <t>SUPPLY_WATER_5001IG_AMOUNT</t>
  </si>
  <si>
    <t>FORKLIFT_HIRE_CHARGE_QTY</t>
  </si>
  <si>
    <t>FORKLIFT_HIRE_CHARGE_AMOUNT</t>
  </si>
  <si>
    <t>FORKLIFT_MOB_DE_MOB_CHARGE_QTY</t>
  </si>
  <si>
    <t>FORKLIFT_MOB_DE_MOB_CHARGE_AMOUNT</t>
  </si>
  <si>
    <t>CONSUMABLES_QTY</t>
  </si>
  <si>
    <t>CONSUMABLES_AMOUNT</t>
  </si>
  <si>
    <t>DIESEL_VESSEL_QTY</t>
  </si>
  <si>
    <t>DIESEL_VESSEL_AMOUNT</t>
  </si>
  <si>
    <t>DOCUMENT_PROCESSING_CHARGE_QTY</t>
  </si>
  <si>
    <t>DOCUMENT_PROCESSING_CHARGE_AMOUNT</t>
  </si>
  <si>
    <t>BULK_MATERIAL_SOLIDS_A_PARCEL_SIZE_0_10_001_TONS_DIRECT_DELIVERY_QTY</t>
  </si>
  <si>
    <t>BULK_MATERIAL_SOLIDS_A_PARCEL_SIZE_0_10_001_TONS_DIRECT_DELIVERY_AMOUNT</t>
  </si>
  <si>
    <t>BULK_MATERIAL_BAGGED_CARGO_14_QTY</t>
  </si>
  <si>
    <t>BULK_MATERIAL_BAGGED_CARGO_14_AMOUNT</t>
  </si>
  <si>
    <t>BULK_MATERIAL_BAGGED_CARGO_15_QTY</t>
  </si>
  <si>
    <t>BULK_MATERIAL_BAGGED_CARGO_15_AMOUNT</t>
  </si>
  <si>
    <t>BULK_MATERIAL_BAGGED_CARGO_16_QTY</t>
  </si>
  <si>
    <t>BULK_MATERIAL_BAGGED_CARGO_16_AMOUNT</t>
  </si>
  <si>
    <t>BULK_MATERIAL_BAGGED_CARGO_19_QTY</t>
  </si>
  <si>
    <t>BULK_MATERIAL_BAGGED_CARGO_19_AMOUNT</t>
  </si>
  <si>
    <t>PEC_CHANGES_QTY</t>
  </si>
  <si>
    <t>PEC_CHANGES_AMOUNT</t>
  </si>
  <si>
    <t>ANCHORAGE_FEES_FOR_NON_CARGO_VESSELS_QTY</t>
  </si>
  <si>
    <t>ANCHORAGE_FEES_FOR_NON_CARGO_VESSELS_AMOUNT</t>
  </si>
  <si>
    <t>CHANNEL_TRANSIT_CROSSING_REQUEST_QTY</t>
  </si>
  <si>
    <t>CHANNEL_TRANSIT_CROSSING_REQUEST_AMOUNT</t>
  </si>
  <si>
    <t>CHANNEL_CROSSING_CHARGES_FOR_VESSELS_WITH_1000_TO_3_001_GT_QTY</t>
  </si>
  <si>
    <t>CHANNEL_CROSSING_CHARGES_FOR_VESSELS_WITH_1000_TO_3_001_GT_AMOUNT</t>
  </si>
  <si>
    <t>GENERAL_WASTE_SERVICE_QTY</t>
  </si>
  <si>
    <t>GENERAL_WASTE_SERVICE_AMOUNT</t>
  </si>
  <si>
    <t>PORT_DUES_FOR_VESSELS_WITH_ABOVE_1_000_UP_TO_3_001GT_QTY</t>
  </si>
  <si>
    <t>PORT_DUES_FOR_VESSELS_WITH_ABOVE_1_000_UP_TO_3_001GT_AMOUNT</t>
  </si>
  <si>
    <t>BUNKERING_LUBE_OIL_SLUDGE_SULPHUR_BILGE_TRANSFER_BUNKERING_PERMIT_QTY</t>
  </si>
  <si>
    <t>BUNKERING_LUBE_OIL_SLUDGE_SULPHUR_BILGE_TRANSFER_BUNKERING_PERMIT_AMOUNT</t>
  </si>
  <si>
    <t>PORT_DUE_CARGO_QTY</t>
  </si>
  <si>
    <t>PORT_DUE_CARGO_AMOUNT</t>
  </si>
  <si>
    <t>WASTE_HANDLING_QTY</t>
  </si>
  <si>
    <t>WASTE_HANDLING_AMOUNT</t>
  </si>
  <si>
    <t>BERTHING_SHIFTING_QTY</t>
  </si>
  <si>
    <t>BERTHING_SHIFTING_AMOUNT</t>
  </si>
  <si>
    <t>PILOTAGE_QTY</t>
  </si>
  <si>
    <t>PILOTAGE_AMOUNT</t>
  </si>
  <si>
    <t>PILOT_LAUNCH_QTY</t>
  </si>
  <si>
    <t>PILOT_LAUNCH_AMOUNT</t>
  </si>
  <si>
    <t>GENERAL_CARGO_QTY</t>
  </si>
  <si>
    <t>GENERAL_CARGO_AMOUNT</t>
  </si>
  <si>
    <t>GATE_PASS_QTY</t>
  </si>
  <si>
    <t>GATE_PASS_AMOUNT</t>
  </si>
  <si>
    <t>PORT_DUE_QTY</t>
  </si>
  <si>
    <t>PORT_DUE_AMOUNT</t>
  </si>
  <si>
    <t>WASTE_HANDLING2_QTY</t>
  </si>
  <si>
    <t>WASTE_HANDLING2_AMOUNT</t>
  </si>
  <si>
    <t>BUNKERING_QTY</t>
  </si>
  <si>
    <t>BUNKERING_AMOUNT</t>
  </si>
  <si>
    <t>HEAVY_LIFT_20FRT_PROJECT_QTY</t>
  </si>
  <si>
    <t>HEAVY_LIFT_20FRT_PROJECT_AMOUNT</t>
  </si>
  <si>
    <t>MANPOWER_RIGGER_QTY</t>
  </si>
  <si>
    <t>MANPOWER_RIGGER_AMOUNT</t>
  </si>
  <si>
    <t>MANPOWER_BANKSMAN_QTY</t>
  </si>
  <si>
    <t>MANPOWER_BANKSMAN_AMOUNT</t>
  </si>
  <si>
    <t>MANPOWER_FOREMAN_QTY</t>
  </si>
  <si>
    <t>MANPOWER_FOREMAN_AMOUNT</t>
  </si>
  <si>
    <t>MANPOWER_SUPERVISOR_QTY</t>
  </si>
  <si>
    <t>MANPOWER_SUPERVISOR_AMOUNT</t>
  </si>
  <si>
    <t>EQUIPMENT_75TON_CRANE_QTY</t>
  </si>
  <si>
    <t>EQUIPMENT_75TON_CRANE_AMOUNT</t>
  </si>
  <si>
    <t>EQUIPMENT_100TON_CRAN_QTY</t>
  </si>
  <si>
    <t>EQUIPMENT_100TON_CRAN_AMOUNT</t>
  </si>
  <si>
    <t>EQUIPMENT_150TON_CRANE_QTY</t>
  </si>
  <si>
    <t>EQUIPMENT_150TON_CRANE_AMOUNT</t>
  </si>
  <si>
    <t>EQUIPMENT_SPREAD_QTY</t>
  </si>
  <si>
    <t>EQUIPMENT_SPREAD_AMOUNT</t>
  </si>
  <si>
    <t>OTHERS_QTY</t>
  </si>
  <si>
    <t>OTHERS_AMOUNT</t>
  </si>
  <si>
    <t>Total_Amount_AED</t>
    <phoneticPr fontId="4" type="noConversion"/>
  </si>
  <si>
    <t>Amount_USD</t>
  </si>
  <si>
    <t>VAT_USD</t>
  </si>
  <si>
    <t>Total_Amount_USD</t>
  </si>
  <si>
    <t>EA_1_Qty</t>
  </si>
  <si>
    <t>EA_1_Rate</t>
  </si>
  <si>
    <t>EA_2_Qty</t>
  </si>
  <si>
    <t>EA_2_Rate</t>
  </si>
  <si>
    <t>EA_3_Qty</t>
  </si>
  <si>
    <t>EA_3_Rate</t>
  </si>
  <si>
    <t>EA_4_Qty</t>
  </si>
  <si>
    <t>EA_4_Rate</t>
  </si>
  <si>
    <t>Amount_A_AED</t>
  </si>
  <si>
    <t>Sum_B_K_to_BA</t>
  </si>
  <si>
    <t>Sum_C_BB_to_BI</t>
  </si>
  <si>
    <t>Diff_A_B</t>
  </si>
  <si>
    <t>Diff_A_C</t>
  </si>
  <si>
    <t>Diff_B_C</t>
  </si>
  <si>
    <t>EA1_Total</t>
  </si>
  <si>
    <t>EA2_Total</t>
  </si>
  <si>
    <t>EA3_Total</t>
  </si>
  <si>
    <t>EA4_Total</t>
  </si>
  <si>
    <t>TotalCost_K</t>
  </si>
  <si>
    <t>Remaining_After_K</t>
  </si>
  <si>
    <t>Amount_L_USD2</t>
  </si>
  <si>
    <t>VAT_M_USD3</t>
  </si>
  <si>
    <t>total_Amount_N_USD4</t>
  </si>
  <si>
    <t>1815902</t>
    <phoneticPr fontId="4" type="noConversion"/>
  </si>
  <si>
    <t>지급율(%)</t>
  </si>
  <si>
    <t>열1</t>
    <phoneticPr fontId="4" type="noConversion"/>
  </si>
  <si>
    <t>BUSHRA_AGI_TR</t>
    <phoneticPr fontId="4" type="noConversion"/>
  </si>
  <si>
    <t>Agency fee: Berthing Arrangement Channel Transit Permission / Pilot Arrangement -Rot#2501020607</t>
  </si>
  <si>
    <t>OFCO-INV-0003667</t>
  </si>
  <si>
    <t>CONTRACT</t>
  </si>
  <si>
    <t>AF FOR BA</t>
  </si>
  <si>
    <t>AGENCY FEE FOR BERTHING ARRANGEMENT</t>
  </si>
  <si>
    <t>SAFEEN INV-99843- Berthing Unberthing &amp; Pilotage- Rot#2501020607</t>
  </si>
  <si>
    <t>PORT HANDLING</t>
  </si>
  <si>
    <t>PORT HANDLING CHARGE</t>
  </si>
  <si>
    <t>CHANNEL TRANSIT CHARGES</t>
  </si>
  <si>
    <t>ADP INV-100076 - Port Dues &amp; Services</t>
  </si>
  <si>
    <t>PORT DUES &amp; SERVICES CHARGES</t>
  </si>
  <si>
    <t>PORT DUES</t>
  </si>
  <si>
    <t>ADP INV01260200319- PHC &amp; Port Equip</t>
  </si>
  <si>
    <t>PORT HANDLING(HEAVY LIFT)</t>
  </si>
  <si>
    <t>HEAVY_LIFT_20FRT_PROJECT</t>
  </si>
  <si>
    <t>ADP INV01260200320- PHC</t>
  </si>
  <si>
    <t>ADP INV01260200208- PHC &amp; Port Equip</t>
  </si>
  <si>
    <t>AT COST</t>
  </si>
  <si>
    <t>AT COST(FORKLIFT)</t>
  </si>
  <si>
    <t>FORKLIFT HIRE CHARGE</t>
  </si>
  <si>
    <t>ADP INV01260200204- PHC &amp; Port Equip</t>
  </si>
  <si>
    <t>ADP INV01260200220- PHC &amp; Port Equip</t>
  </si>
  <si>
    <t>CONTRACT_EQUIPMENT</t>
  </si>
  <si>
    <t>BULK CARGO_EQUIPMENT</t>
  </si>
  <si>
    <t>75TON CRANE</t>
  </si>
  <si>
    <t>OFCO Handling Fees -Port charges Rot#2501020607</t>
  </si>
  <si>
    <t>OFCO-INV-0003667</t>
    <phoneticPr fontId="4" type="noConversion"/>
  </si>
  <si>
    <t>OFCO HF</t>
  </si>
  <si>
    <t>OFCO HANDLING FEE</t>
  </si>
  <si>
    <t>Agency fee: Port Crane arrangement</t>
  </si>
  <si>
    <t>OTHERS</t>
  </si>
  <si>
    <t>ARRANGING PORT EQUIPMENT</t>
  </si>
  <si>
    <t>Port Crane</t>
  </si>
  <si>
    <t>Agency fee: Port Forklift arrangement</t>
    <phoneticPr fontId="4" type="noConversion"/>
  </si>
  <si>
    <t>PTW Application Fee</t>
  </si>
  <si>
    <t>CONTRACT(AF FOR PTW ARRG)</t>
  </si>
  <si>
    <t>AGENCY FOR ARRANGEMENT PTW</t>
  </si>
  <si>
    <t>1</t>
  </si>
  <si>
    <t>Agency fee: Berthing Arrangement Channel Transit Permission / Pilot Arrangement -Rot# 2601021000</t>
  </si>
  <si>
    <t>OFCO-INV-0004469</t>
  </si>
  <si>
    <t>2026-04-14</t>
  </si>
  <si>
    <t>Apr-26</t>
  </si>
  <si>
    <t>2</t>
  </si>
  <si>
    <t>SAFEEN INV-101576- Berthing Unberthing &amp; Pilotage- Rot# 2601021000</t>
  </si>
  <si>
    <t>3</t>
  </si>
  <si>
    <t>ADP INV-102294 - Port Dues &amp; Services</t>
    <phoneticPr fontId="4" type="noConversion"/>
  </si>
  <si>
    <t>4</t>
  </si>
  <si>
    <t>SAFEEN INV-102913- Anchorage charges- Rot# 2601021000</t>
  </si>
  <si>
    <t>5</t>
  </si>
  <si>
    <t>ADP INV01260300439- PHC -Rot# 2601021000</t>
  </si>
  <si>
    <t>6</t>
  </si>
  <si>
    <t>ADP INV01260200349- PHC -Rot# 2601021000</t>
  </si>
  <si>
    <t>PORT HANDLING(GENERAL CARGO)</t>
  </si>
  <si>
    <t>GENERAL_CARGO</t>
  </si>
  <si>
    <t>7</t>
  </si>
  <si>
    <t>OFCO Handling Fees -Port charges (Rot# 2601021000)</t>
  </si>
  <si>
    <t>8</t>
  </si>
  <si>
    <t>Agency fee: Arranging FW Supply arrangement on 18-02-2026</t>
  </si>
  <si>
    <t>OFCO-INV-0004469</t>
    <phoneticPr fontId="4" type="noConversion"/>
  </si>
  <si>
    <t>AF FOR FW SA</t>
  </si>
  <si>
    <t>AGENCY_FEE_FOR_FW_SUPPLY_ARRANGEMENT</t>
  </si>
  <si>
    <t>9</t>
  </si>
  <si>
    <t>Agency fee: Port Crane arrangement &amp; terminal trailer/tractor</t>
  </si>
  <si>
    <t>CONTRACT(OTHERS)</t>
  </si>
  <si>
    <t>10</t>
  </si>
  <si>
    <t>Agency fee: Port Forklift arrangement</t>
  </si>
  <si>
    <t>11</t>
  </si>
  <si>
    <t>Agency fee: Cargo Manifest Clearnace - Rot# 2601021000</t>
  </si>
  <si>
    <t>AF FOR CC</t>
  </si>
  <si>
    <t>AGENCY FEE FOR CARGO CLEARANCE</t>
  </si>
  <si>
    <t>12</t>
  </si>
  <si>
    <t>13</t>
  </si>
  <si>
    <t>Agency fee: Berthing Arrangement Channel Transit Permission / Pilot Arrangement -Rot# 2601021035</t>
  </si>
  <si>
    <t>14</t>
  </si>
  <si>
    <t>SAFEEN INV-103438- Berthing Unberthing &amp; Pilotage- Rot# 2601021035</t>
  </si>
  <si>
    <t>15</t>
  </si>
  <si>
    <t>ADP INV-103679 - Port Dues &amp; Services</t>
  </si>
  <si>
    <t>16</t>
  </si>
  <si>
    <t>ADP INV01260300442- PHC -Rot# 2601021035</t>
  </si>
  <si>
    <t>17</t>
  </si>
  <si>
    <t>ADP INV01260300443- PHC -Rot# 2601021035</t>
  </si>
  <si>
    <t>PORT HANDLING(EQUIPMENT SPREAD)</t>
  </si>
  <si>
    <t>EQUIPMENT_SPREAD</t>
  </si>
  <si>
    <t>18</t>
  </si>
  <si>
    <t>OFCO Handling Fees -Port charges</t>
  </si>
  <si>
    <t>19</t>
  </si>
  <si>
    <t>20</t>
  </si>
  <si>
    <t>Agency fee: Cargo Manifest Clearnace</t>
  </si>
  <si>
    <t>21</t>
  </si>
  <si>
    <t>22</t>
  </si>
  <si>
    <t>Agency fee: Berthing Arrangement Channel Transit Permission / Pilot Arrangement -Rot# 2601020908</t>
  </si>
  <si>
    <t>23</t>
  </si>
  <si>
    <t>SAFEEN INV-100997- Berthing Unberthing &amp; Pilotage- Rot# 2601020908</t>
  </si>
  <si>
    <t>24</t>
  </si>
  <si>
    <t>ADP INV-101729 - Port Dues &amp; Services</t>
  </si>
  <si>
    <t>25</t>
  </si>
  <si>
    <t>ADP INV01260200414- PHC -Rot# 2601020908</t>
    <phoneticPr fontId="4" type="noConversion"/>
  </si>
  <si>
    <t>26</t>
  </si>
  <si>
    <t>ADP INV01260400596- PHC -Rot# 2601020908</t>
  </si>
  <si>
    <t>PORT HANDLING(75T CRANE)</t>
  </si>
  <si>
    <t>EQUIPMENT_75TON_CRANE</t>
  </si>
  <si>
    <t>27</t>
  </si>
  <si>
    <t>ADP INV01260400600- PHC -Rot# 2601020908</t>
  </si>
  <si>
    <t>28</t>
  </si>
  <si>
    <t>ADP INV01260400601- PHC -Rot# 2601020908</t>
  </si>
  <si>
    <t>29</t>
  </si>
  <si>
    <t>30</t>
  </si>
  <si>
    <t>Agency fee: Port Crane arrangements / Terminal trailer</t>
  </si>
  <si>
    <t>31</t>
  </si>
  <si>
    <t>32</t>
  </si>
  <si>
    <t>33</t>
  </si>
  <si>
    <t>34</t>
  </si>
  <si>
    <t>Pass Arrangement (details as per attached summary)</t>
  </si>
  <si>
    <t>AF FOR PASS ARRG</t>
  </si>
  <si>
    <t>GATE_PASS</t>
  </si>
  <si>
    <t>35</t>
  </si>
  <si>
    <t>Agency fee: Daily Pass Arrangement</t>
  </si>
  <si>
    <t>36</t>
  </si>
  <si>
    <t>Agency fee: Equipment Pass Arrangement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</si>
</sst>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.00_ "/>
    <numFmt numFmtId="177" formatCode="_-* #,##0.00_-;\-* #,##0.00_-;_-* &quot;-&quot;_-;_-@_-"/>
    <numFmt numFmtId="178" formatCode="#,##0.00_ ;[Red]\-#,##0.00\ 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</font>
    <font>
      <b/>
      <sz val="11"/>
      <color theme="9" tint="-0.249977111117893"/>
      <name val="맑은 고딕"/>
      <family val="3"/>
      <charset val="129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sz val="9"/>
      <color theme="3"/>
      <name val="Arial"/>
      <family val="2"/>
    </font>
    <font>
      <sz val="9"/>
      <color theme="1"/>
      <name val="Arial"/>
      <family val="2"/>
    </font>
    <font>
      <sz val="9"/>
      <color theme="1"/>
      <name val="맑은 고딕"/>
      <family val="2"/>
      <scheme val="minor"/>
    </font>
    <font>
      <b/>
      <sz val="9"/>
      <color theme="1"/>
      <name val="Arial"/>
      <family val="2"/>
    </font>
    <font>
      <sz val="11"/>
      <color theme="1"/>
      <name val="맑은 고딕"/>
      <family val="2"/>
      <scheme val="minor"/>
    </font>
    <font>
      <sz val="9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4472C4"/>
      </left>
      <right/>
      <top style="medium">
        <color theme="4"/>
      </top>
      <bottom/>
      <diagonal/>
    </border>
    <border>
      <left style="thin">
        <color indexed="64"/>
      </left>
      <right/>
      <top style="medium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medium">
        <color theme="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rgb="FF4472C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/>
      </left>
      <right/>
      <top style="hair">
        <color indexed="64"/>
      </top>
      <bottom/>
      <diagonal/>
    </border>
  </borders>
  <cellStyleXfs count="6">
    <xf numFmtId="0" fontId="0" fillId="0" borderId="0">
      <alignment vertical="center"/>
    </xf>
    <xf numFmtId="0" fontId="2" fillId="0" borderId="0"/>
    <xf numFmtId="9" fontId="1" fillId="0" borderId="0">
      <alignment vertical="center"/>
    </xf>
    <xf numFmtId="41" fontId="2" fillId="0" borderId="0">
      <alignment vertical="center"/>
    </xf>
    <xf numFmtId="41" fontId="1" fillId="0" borderId="0">
      <alignment vertical="center"/>
    </xf>
    <xf numFmtId="0" fontId="13" fillId="0" borderId="0"/>
  </cellStyleXfs>
  <cellXfs count="40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5" fillId="2" borderId="3" xfId="1" applyFont="1" applyFill="1" applyBorder="1" applyAlignment="1">
      <alignment horizontal="center" vertical="top" wrapText="1"/>
    </xf>
    <xf numFmtId="0" fontId="5" fillId="2" borderId="2" xfId="1" applyFont="1" applyFill="1" applyBorder="1" applyAlignment="1">
      <alignment horizontal="center" vertical="top" wrapText="1"/>
    </xf>
    <xf numFmtId="0" fontId="6" fillId="2" borderId="2" xfId="1" applyFont="1" applyFill="1" applyBorder="1" applyAlignment="1">
      <alignment horizontal="center" vertical="top" wrapText="1"/>
    </xf>
    <xf numFmtId="10" fontId="3" fillId="2" borderId="2" xfId="2" applyNumberFormat="1" applyFont="1" applyFill="1" applyBorder="1" applyAlignment="1">
      <alignment horizontal="center" vertical="top" wrapText="1"/>
    </xf>
    <xf numFmtId="0" fontId="7" fillId="3" borderId="4" xfId="1" applyFont="1" applyFill="1" applyBorder="1" applyAlignment="1">
      <alignment vertical="top" wrapText="1"/>
    </xf>
    <xf numFmtId="0" fontId="8" fillId="3" borderId="0" xfId="1" applyFont="1" applyFill="1" applyAlignment="1">
      <alignment vertical="top" wrapText="1"/>
    </xf>
    <xf numFmtId="0" fontId="9" fillId="3" borderId="5" xfId="1" applyFont="1" applyFill="1" applyBorder="1" applyAlignment="1">
      <alignment horizontal="center"/>
    </xf>
    <xf numFmtId="0" fontId="10" fillId="3" borderId="6" xfId="1" applyFont="1" applyFill="1" applyBorder="1" applyAlignment="1">
      <alignment horizontal="center"/>
    </xf>
    <xf numFmtId="0" fontId="10" fillId="3" borderId="7" xfId="1" applyFont="1" applyFill="1" applyBorder="1" applyAlignment="1">
      <alignment horizontal="center"/>
    </xf>
    <xf numFmtId="0" fontId="10" fillId="3" borderId="8" xfId="1" applyFont="1" applyFill="1" applyBorder="1"/>
    <xf numFmtId="0" fontId="10" fillId="4" borderId="8" xfId="1" applyFont="1" applyFill="1" applyBorder="1"/>
    <xf numFmtId="14" fontId="10" fillId="4" borderId="8" xfId="1" applyNumberFormat="1" applyFont="1" applyFill="1" applyBorder="1" applyAlignment="1">
      <alignment horizontal="center"/>
    </xf>
    <xf numFmtId="176" fontId="10" fillId="5" borderId="9" xfId="3" applyNumberFormat="1" applyFont="1" applyFill="1" applyBorder="1" applyAlignment="1">
      <alignment horizontal="center"/>
    </xf>
    <xf numFmtId="176" fontId="10" fillId="5" borderId="8" xfId="1" applyNumberFormat="1" applyFont="1" applyFill="1" applyBorder="1"/>
    <xf numFmtId="176" fontId="10" fillId="4" borderId="9" xfId="1" applyNumberFormat="1" applyFont="1" applyFill="1" applyBorder="1"/>
    <xf numFmtId="176" fontId="10" fillId="4" borderId="8" xfId="1" applyNumberFormat="1" applyFont="1" applyFill="1" applyBorder="1"/>
    <xf numFmtId="176" fontId="10" fillId="5" borderId="7" xfId="1" applyNumberFormat="1" applyFont="1" applyFill="1" applyBorder="1"/>
    <xf numFmtId="176" fontId="10" fillId="5" borderId="8" xfId="3" applyNumberFormat="1" applyFont="1" applyFill="1" applyBorder="1" applyAlignment="1"/>
    <xf numFmtId="176" fontId="11" fillId="5" borderId="8" xfId="1" applyNumberFormat="1" applyFont="1" applyFill="1" applyBorder="1"/>
    <xf numFmtId="176" fontId="10" fillId="4" borderId="7" xfId="1" applyNumberFormat="1" applyFont="1" applyFill="1" applyBorder="1"/>
    <xf numFmtId="176" fontId="10" fillId="4" borderId="7" xfId="3" applyNumberFormat="1" applyFont="1" applyFill="1" applyBorder="1" applyAlignment="1"/>
    <xf numFmtId="176" fontId="10" fillId="4" borderId="8" xfId="3" applyNumberFormat="1" applyFont="1" applyFill="1" applyBorder="1" applyAlignment="1">
      <alignment horizontal="right"/>
    </xf>
    <xf numFmtId="176" fontId="10" fillId="5" borderId="7" xfId="3" applyNumberFormat="1" applyFont="1" applyFill="1" applyBorder="1" applyAlignment="1"/>
    <xf numFmtId="176" fontId="10" fillId="4" borderId="8" xfId="3" applyNumberFormat="1" applyFont="1" applyFill="1" applyBorder="1" applyAlignment="1"/>
    <xf numFmtId="176" fontId="12" fillId="5" borderId="7" xfId="1" applyNumberFormat="1" applyFont="1" applyFill="1" applyBorder="1"/>
    <xf numFmtId="177" fontId="10" fillId="5" borderId="8" xfId="4" applyNumberFormat="1" applyFont="1" applyFill="1" applyBorder="1" applyAlignment="1"/>
    <xf numFmtId="0" fontId="14" fillId="3" borderId="4" xfId="5" applyFont="1" applyFill="1" applyBorder="1"/>
    <xf numFmtId="0" fontId="10" fillId="3" borderId="0" xfId="1" applyFont="1" applyFill="1"/>
    <xf numFmtId="176" fontId="10" fillId="3" borderId="0" xfId="1" applyNumberFormat="1" applyFont="1" applyFill="1"/>
    <xf numFmtId="176" fontId="10" fillId="5" borderId="8" xfId="1" applyNumberFormat="1" applyFont="1" applyFill="1" applyBorder="1" applyAlignment="1">
      <alignment horizontal="right"/>
    </xf>
    <xf numFmtId="0" fontId="9" fillId="3" borderId="0" xfId="1" applyFont="1" applyFill="1" applyAlignment="1">
      <alignment horizontal="center"/>
    </xf>
    <xf numFmtId="0" fontId="9" fillId="3" borderId="0" xfId="1" applyFont="1" applyFill="1"/>
    <xf numFmtId="41" fontId="9" fillId="3" borderId="0" xfId="3" applyFont="1" applyFill="1" applyAlignment="1">
      <alignment horizontal="center"/>
    </xf>
    <xf numFmtId="178" fontId="9" fillId="3" borderId="0" xfId="3" applyNumberFormat="1" applyFont="1" applyFill="1" applyAlignment="1"/>
    <xf numFmtId="178" fontId="9" fillId="3" borderId="0" xfId="1" applyNumberFormat="1" applyFont="1" applyFill="1"/>
    <xf numFmtId="177" fontId="9" fillId="3" borderId="0" xfId="3" applyNumberFormat="1" applyFont="1" applyFill="1" applyAlignment="1"/>
    <xf numFmtId="10" fontId="9" fillId="3" borderId="0" xfId="2" applyNumberFormat="1" applyFont="1" applyFill="1" applyAlignment="1"/>
  </cellXfs>
  <cellStyles count="6">
    <cellStyle name="백분율 2" xfId="2" xr:uid="{5383862F-0547-418C-ACE3-2CAF9D6E2E6A}"/>
    <cellStyle name="쉼표 [0] 2 2" xfId="3" xr:uid="{18AF3658-8478-4EDB-B6D3-973B7B5E7157}"/>
    <cellStyle name="쉼표 [0] 3 2" xfId="4" xr:uid="{9AB437F8-9DA6-42D6-B6F3-790812EF16AE}"/>
    <cellStyle name="표준" xfId="0" builtinId="0"/>
    <cellStyle name="표준 2" xfId="1" xr:uid="{FF1F5B17-087F-4183-B6E1-782E22FFCBC8}"/>
    <cellStyle name="표준 4" xfId="5" xr:uid="{20AFAD91-C3ED-4169-BDB8-97D0424E64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8790-0A58-4F66-8EE6-5FC281B3BA9D}">
  <sheetPr>
    <tabColor rgb="FF0070C0"/>
    <outlinePr summaryBelow="0" summaryRight="0"/>
  </sheetPr>
  <dimension ref="A1:EI49"/>
  <sheetViews>
    <sheetView tabSelected="1" zoomScale="70" zoomScaleNormal="70" zoomScaleSheetLayoutView="85" workbookViewId="0">
      <pane ySplit="1" topLeftCell="A2" activePane="bottomLeft" state="frozen"/>
      <selection pane="bottomLeft" activeCell="DY20" sqref="DY20"/>
    </sheetView>
  </sheetViews>
  <sheetFormatPr defaultColWidth="11.3984375" defaultRowHeight="15" customHeight="1" x14ac:dyDescent="0.2"/>
  <cols>
    <col min="1" max="1" width="4.69921875" style="33" customWidth="1"/>
    <col min="2" max="3" width="3.796875" style="33" customWidth="1"/>
    <col min="4" max="5" width="20.59765625" style="34" customWidth="1"/>
    <col min="6" max="6" width="41.59765625" style="34" customWidth="1"/>
    <col min="7" max="7" width="17.3984375" style="34" customWidth="1"/>
    <col min="8" max="8" width="12.8984375" style="33" customWidth="1"/>
    <col min="9" max="9" width="14.09765625" style="33" customWidth="1"/>
    <col min="10" max="10" width="21.69921875" style="34" customWidth="1"/>
    <col min="11" max="11" width="25" style="34" customWidth="1"/>
    <col min="12" max="12" width="31.59765625" style="34" customWidth="1"/>
    <col min="13" max="13" width="39.296875" style="34" customWidth="1"/>
    <col min="14" max="14" width="7.69921875" style="34" customWidth="1"/>
    <col min="15" max="16" width="7.69921875" style="35" customWidth="1"/>
    <col min="17" max="33" width="7.69921875" style="34" customWidth="1"/>
    <col min="34" max="35" width="12.5" style="34" customWidth="1"/>
    <col min="36" max="99" width="7.69921875" style="34" customWidth="1"/>
    <col min="100" max="100" width="12.8984375" style="34" customWidth="1"/>
    <col min="101" max="101" width="17.296875" style="34" customWidth="1"/>
    <col min="102" max="102" width="12.5" style="34" customWidth="1"/>
    <col min="103" max="103" width="11.19921875" style="34" customWidth="1"/>
    <col min="104" max="104" width="10.69921875" style="34" customWidth="1"/>
    <col min="105" max="105" width="12.19921875" style="34" customWidth="1"/>
    <col min="106" max="107" width="12.3984375" style="36" customWidth="1"/>
    <col min="108" max="108" width="9.69921875" style="36" customWidth="1"/>
    <col min="109" max="113" width="9.69921875" style="37" customWidth="1"/>
    <col min="114" max="114" width="11.69921875" style="36" customWidth="1"/>
    <col min="115" max="116" width="11.69921875" style="38" customWidth="1"/>
    <col min="117" max="117" width="9.69921875" style="38" customWidth="1"/>
    <col min="118" max="118" width="13.09765625" style="38" customWidth="1"/>
    <col min="119" max="119" width="9.69921875" style="38" customWidth="1"/>
    <col min="120" max="120" width="11.09765625" style="38" customWidth="1"/>
    <col min="121" max="122" width="9.69921875" style="38" customWidth="1"/>
    <col min="123" max="123" width="10.796875" style="38" customWidth="1"/>
    <col min="124" max="124" width="11.5" style="38" customWidth="1"/>
    <col min="125" max="125" width="13.5" style="38" customWidth="1"/>
    <col min="126" max="126" width="17.3984375" style="34" customWidth="1"/>
    <col min="127" max="127" width="14.59765625" style="34" customWidth="1"/>
    <col min="128" max="128" width="22.8984375" style="34" customWidth="1"/>
    <col min="129" max="129" width="13.296875" style="34" customWidth="1"/>
    <col min="130" max="130" width="11.296875" style="39" customWidth="1"/>
    <col min="131" max="131" width="8.5" style="34" customWidth="1"/>
    <col min="132" max="16384" width="11.3984375" style="34"/>
  </cols>
  <sheetData>
    <row r="1" spans="1:139" s="8" customFormat="1" ht="74.400000000000006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3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5" t="s">
        <v>128</v>
      </c>
      <c r="DZ1" s="6" t="s">
        <v>129</v>
      </c>
      <c r="EA1" s="7" t="s">
        <v>130</v>
      </c>
    </row>
    <row r="2" spans="1:139" s="30" customFormat="1" ht="15" customHeight="1" x14ac:dyDescent="0.3">
      <c r="A2" s="9">
        <v>1304</v>
      </c>
      <c r="B2" s="10">
        <v>15</v>
      </c>
      <c r="C2" s="11">
        <v>1</v>
      </c>
      <c r="D2" s="12" t="s">
        <v>131</v>
      </c>
      <c r="E2" s="12"/>
      <c r="F2" s="12" t="s">
        <v>132</v>
      </c>
      <c r="G2" s="13" t="s">
        <v>133</v>
      </c>
      <c r="H2" s="14">
        <v>46087</v>
      </c>
      <c r="I2" s="14" t="str">
        <f>TEXT(H2, "MMM-yy")</f>
        <v>Mar-26</v>
      </c>
      <c r="J2" s="13" t="s">
        <v>134</v>
      </c>
      <c r="K2" s="13" t="s">
        <v>134</v>
      </c>
      <c r="L2" s="13" t="s">
        <v>135</v>
      </c>
      <c r="M2" s="13" t="s">
        <v>136</v>
      </c>
      <c r="N2" s="15"/>
      <c r="O2" s="16"/>
      <c r="P2" s="16">
        <v>1</v>
      </c>
      <c r="Q2" s="16">
        <v>1800</v>
      </c>
      <c r="R2" s="16"/>
      <c r="S2" s="16"/>
      <c r="T2" s="16"/>
      <c r="U2" s="16"/>
      <c r="V2" s="16"/>
      <c r="W2" s="16"/>
      <c r="X2" s="16"/>
      <c r="Y2" s="16"/>
      <c r="Z2" s="17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20"/>
      <c r="BH2" s="20"/>
      <c r="BI2" s="16"/>
      <c r="BJ2" s="16"/>
      <c r="BK2" s="16"/>
      <c r="BL2" s="16"/>
      <c r="BM2" s="16"/>
      <c r="BN2" s="21"/>
      <c r="BO2" s="16"/>
      <c r="BP2" s="16"/>
      <c r="BQ2" s="16"/>
      <c r="BR2" s="16"/>
      <c r="BS2" s="16"/>
      <c r="BT2" s="16"/>
      <c r="BU2" s="20"/>
      <c r="BV2" s="20"/>
      <c r="BW2" s="20"/>
      <c r="BX2" s="16"/>
      <c r="BY2" s="16"/>
      <c r="BZ2" s="16"/>
      <c r="CA2" s="16"/>
      <c r="CB2" s="16"/>
      <c r="CC2" s="16"/>
      <c r="CD2" s="16"/>
      <c r="CE2" s="16"/>
      <c r="CF2" s="19"/>
      <c r="CG2" s="16"/>
      <c r="CH2" s="16"/>
      <c r="CI2" s="16"/>
      <c r="CJ2" s="16"/>
      <c r="CK2" s="16"/>
      <c r="CL2" s="16"/>
      <c r="CM2" s="16"/>
      <c r="CN2" s="22"/>
      <c r="CO2" s="18"/>
      <c r="CP2" s="18"/>
      <c r="CQ2" s="18"/>
      <c r="CR2" s="18"/>
      <c r="CS2" s="18"/>
      <c r="CT2" s="18"/>
      <c r="CU2" s="18"/>
      <c r="CV2" s="16"/>
      <c r="CW2" s="16"/>
      <c r="CX2" s="22">
        <v>1800</v>
      </c>
      <c r="CY2" s="19">
        <v>490.13</v>
      </c>
      <c r="CZ2" s="16">
        <v>24.51</v>
      </c>
      <c r="DA2" s="16">
        <v>514.64</v>
      </c>
      <c r="DB2" s="23">
        <v>1</v>
      </c>
      <c r="DC2" s="24">
        <v>1800</v>
      </c>
      <c r="DD2" s="18"/>
      <c r="DE2" s="18"/>
      <c r="DF2" s="18"/>
      <c r="DG2" s="18"/>
      <c r="DH2" s="18"/>
      <c r="DI2" s="18"/>
      <c r="DJ2" s="25">
        <v>1800</v>
      </c>
      <c r="DK2" s="25">
        <f t="array" ref="DK2">SUMPRODUCT(--(MOD(COLUMN(N2:CW2)-COLUMN(O2),2)=0), N2:CW2)</f>
        <v>1800</v>
      </c>
      <c r="DL2" s="20">
        <f t="shared" ref="DL2:DL49" si="0">(DB2*DC2)+(DD2*DE2)+(DF2*DG2)+(DH2*DI2)</f>
        <v>1800</v>
      </c>
      <c r="DM2" s="23">
        <f t="shared" ref="DM2:DM49" si="1">DJ2-DK2</f>
        <v>0</v>
      </c>
      <c r="DN2" s="26">
        <f t="shared" ref="DN2:DN49" si="2">DJ2-DL2</f>
        <v>0</v>
      </c>
      <c r="DO2" s="26">
        <f t="shared" ref="DO2:DO49" si="3">DM2-DN2</f>
        <v>0</v>
      </c>
      <c r="DP2" s="26">
        <f t="shared" ref="DP2:DP49" si="4">DB2*DC2</f>
        <v>1800</v>
      </c>
      <c r="DQ2" s="26">
        <f t="shared" ref="DQ2:DQ49" si="5">DD2*DE2</f>
        <v>0</v>
      </c>
      <c r="DR2" s="26">
        <f t="shared" ref="DR2:DR49" si="6">DF2*DG2</f>
        <v>0</v>
      </c>
      <c r="DS2" s="26">
        <f t="shared" ref="DS2:DS49" si="7">DH2*DI2</f>
        <v>0</v>
      </c>
      <c r="DT2" s="26">
        <f t="shared" ref="DT2:DT49" si="8">DP2+DQ2+DR2+DS2</f>
        <v>1800</v>
      </c>
      <c r="DU2" s="26">
        <f t="shared" ref="DU2:DU49" si="9">DJ2-DT2</f>
        <v>0</v>
      </c>
      <c r="DV2" s="27">
        <v>490.13</v>
      </c>
      <c r="DW2" s="16">
        <v>24.51</v>
      </c>
      <c r="DX2" s="16">
        <v>514.64</v>
      </c>
      <c r="DY2" s="19">
        <f>DX2</f>
        <v>514.64</v>
      </c>
      <c r="DZ2" s="28">
        <f>DY2/$DY$1*100</f>
        <v>2.8340736449433943E-2</v>
      </c>
      <c r="EA2" s="29" t="b" cm="1">
        <f t="array" ref="EA2">IF(UPPER($J2)="CONTRACT",SUMPRODUCT(--(LEN(SUBSTITUTE(TRIM($N2:$Y2),"　",""))&gt;0))&gt;0,IF(UPPER($J2)="AT COST",SUMPRODUCT(--(LEN(SUBSTITUTE(TRIM($Z2:$AI2),"　",""))&gt;0))&gt;0,IF(UPPER($J2)="PORT HANDLING",SUMPRODUCT(--(LEN(SUBSTITUTE(TRIM($AJ2:$CW2),"　",""))&gt;0))&gt;0,IF(UPPER($J2)="OTHERS",SUMPRODUCT(--(LEN(SUBSTITUTE(TRIM($CV2:$CW2),"　",""))&gt;0))&gt;0,IF(UPPER($J2)="CONTRACT_MANPOWER",SUMPRODUCT(--(LEN(SUBSTITUTE(TRIM($CF2:$CM2),"　",""))&gt;0))&gt;0,IF(UPPER($J2)="CONTRACT_EQUPIMENT",SUMPRODUCT(--(LEN(SUBSTITUTE(TRIM($CN2:$CU2),"　",""))&gt;0))&gt;0,TRUE))))))</f>
        <v>1</v>
      </c>
      <c r="EE2" s="31"/>
      <c r="EF2" s="31"/>
      <c r="EG2" s="31"/>
      <c r="EH2" s="31"/>
      <c r="EI2" s="31"/>
    </row>
    <row r="3" spans="1:139" s="30" customFormat="1" ht="15" customHeight="1" x14ac:dyDescent="0.3">
      <c r="A3" s="9">
        <v>1305</v>
      </c>
      <c r="B3" s="10">
        <v>15</v>
      </c>
      <c r="C3" s="11">
        <v>2</v>
      </c>
      <c r="D3" s="12" t="s">
        <v>131</v>
      </c>
      <c r="E3" s="12"/>
      <c r="F3" s="12" t="s">
        <v>137</v>
      </c>
      <c r="G3" s="13" t="s">
        <v>133</v>
      </c>
      <c r="H3" s="14">
        <v>46087</v>
      </c>
      <c r="I3" s="14" t="str">
        <f>TEXT(H3, "MMM-yy")</f>
        <v>Mar-26</v>
      </c>
      <c r="J3" s="13" t="s">
        <v>138</v>
      </c>
      <c r="K3" s="13" t="s">
        <v>139</v>
      </c>
      <c r="L3" s="13" t="s">
        <v>140</v>
      </c>
      <c r="M3" s="13" t="s">
        <v>140</v>
      </c>
      <c r="N3" s="15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7"/>
      <c r="AA3" s="18"/>
      <c r="AB3" s="18"/>
      <c r="AC3" s="18"/>
      <c r="AD3" s="18"/>
      <c r="AE3" s="18"/>
      <c r="AF3" s="18"/>
      <c r="AG3" s="18"/>
      <c r="AH3" s="18"/>
      <c r="AI3" s="18"/>
      <c r="AJ3" s="19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20"/>
      <c r="BH3" s="20"/>
      <c r="BI3" s="16"/>
      <c r="BJ3" s="16"/>
      <c r="BK3" s="16"/>
      <c r="BL3" s="16"/>
      <c r="BM3" s="16"/>
      <c r="BN3" s="21">
        <v>2</v>
      </c>
      <c r="BO3" s="16">
        <v>640</v>
      </c>
      <c r="BP3" s="16">
        <v>2</v>
      </c>
      <c r="BQ3" s="16">
        <v>2000</v>
      </c>
      <c r="BR3" s="16">
        <v>2</v>
      </c>
      <c r="BS3" s="16">
        <v>4000</v>
      </c>
      <c r="BT3" s="16"/>
      <c r="BU3" s="20"/>
      <c r="BV3" s="20">
        <v>2</v>
      </c>
      <c r="BW3" s="20">
        <v>1700</v>
      </c>
      <c r="BX3" s="16"/>
      <c r="BY3" s="16"/>
      <c r="BZ3" s="16"/>
      <c r="CA3" s="16"/>
      <c r="CB3" s="16"/>
      <c r="CC3" s="16"/>
      <c r="CD3" s="16"/>
      <c r="CE3" s="16"/>
      <c r="CF3" s="19"/>
      <c r="CG3" s="16"/>
      <c r="CH3" s="16"/>
      <c r="CI3" s="16"/>
      <c r="CJ3" s="16"/>
      <c r="CK3" s="16"/>
      <c r="CL3" s="16"/>
      <c r="CM3" s="16"/>
      <c r="CN3" s="22"/>
      <c r="CO3" s="18"/>
      <c r="CP3" s="18"/>
      <c r="CQ3" s="18"/>
      <c r="CR3" s="18"/>
      <c r="CS3" s="18"/>
      <c r="CT3" s="18"/>
      <c r="CU3" s="18"/>
      <c r="CV3" s="16"/>
      <c r="CW3" s="16"/>
      <c r="CX3" s="22">
        <v>8340</v>
      </c>
      <c r="CY3" s="19">
        <v>2270.9299999999998</v>
      </c>
      <c r="CZ3" s="16">
        <v>113.55</v>
      </c>
      <c r="DA3" s="16">
        <v>2384.48</v>
      </c>
      <c r="DB3" s="23">
        <v>1</v>
      </c>
      <c r="DC3" s="26">
        <v>1000</v>
      </c>
      <c r="DD3" s="18">
        <v>1</v>
      </c>
      <c r="DE3" s="18">
        <v>2000</v>
      </c>
      <c r="DF3" s="18">
        <v>1</v>
      </c>
      <c r="DG3" s="18">
        <v>900</v>
      </c>
      <c r="DH3" s="18">
        <v>1</v>
      </c>
      <c r="DI3" s="18">
        <v>4440</v>
      </c>
      <c r="DJ3" s="25">
        <v>8340</v>
      </c>
      <c r="DK3" s="25">
        <f t="array" ref="DK3">SUMPRODUCT(--(MOD(COLUMN(N3:CW3)-COLUMN(O3),2)=0), N3:CW3)</f>
        <v>8340</v>
      </c>
      <c r="DL3" s="20">
        <f t="shared" si="0"/>
        <v>8340</v>
      </c>
      <c r="DM3" s="23">
        <f t="shared" si="1"/>
        <v>0</v>
      </c>
      <c r="DN3" s="26">
        <f t="shared" si="2"/>
        <v>0</v>
      </c>
      <c r="DO3" s="26">
        <f t="shared" si="3"/>
        <v>0</v>
      </c>
      <c r="DP3" s="26">
        <f t="shared" si="4"/>
        <v>1000</v>
      </c>
      <c r="DQ3" s="26">
        <f t="shared" si="5"/>
        <v>2000</v>
      </c>
      <c r="DR3" s="26">
        <f t="shared" si="6"/>
        <v>900</v>
      </c>
      <c r="DS3" s="26">
        <f t="shared" si="7"/>
        <v>4440</v>
      </c>
      <c r="DT3" s="26">
        <f t="shared" si="8"/>
        <v>8340</v>
      </c>
      <c r="DU3" s="26">
        <f t="shared" si="9"/>
        <v>0</v>
      </c>
      <c r="DV3" s="27">
        <v>2270.9299999999998</v>
      </c>
      <c r="DW3" s="16">
        <v>113.55</v>
      </c>
      <c r="DX3" s="16">
        <v>2384.48</v>
      </c>
      <c r="DY3" s="19">
        <f>SUM($DV$2:DV3)</f>
        <v>2761.06</v>
      </c>
      <c r="DZ3" s="28">
        <f>DY3/$DY$1*100</f>
        <v>0.15204895418365086</v>
      </c>
      <c r="EA3" s="29" t="b" cm="1">
        <f t="array" ref="EA3">IF(UPPER($J3)="CONTRACT",SUMPRODUCT(--(LEN(SUBSTITUTE(TRIM($N3:$Y3),"　",""))&gt;0))&gt;0,IF(UPPER($J3)="AT COST",SUMPRODUCT(--(LEN(SUBSTITUTE(TRIM($Z3:$AI3),"　",""))&gt;0))&gt;0,IF(UPPER($J3)="PORT HANDLING",SUMPRODUCT(--(LEN(SUBSTITUTE(TRIM($AJ3:$CW3),"　",""))&gt;0))&gt;0,IF(UPPER($J3)="OTHERS",SUMPRODUCT(--(LEN(SUBSTITUTE(TRIM($CV3:$CW3),"　",""))&gt;0))&gt;0,IF(UPPER($J3)="CONTRACT_MANPOWER",SUMPRODUCT(--(LEN(SUBSTITUTE(TRIM($CF3:$CM3),"　",""))&gt;0))&gt;0,IF(UPPER($J3)="CONTRACT_EQUPIMENT",SUMPRODUCT(--(LEN(SUBSTITUTE(TRIM($CN3:$CU3),"　",""))&gt;0))&gt;0,TRUE))))))</f>
        <v>1</v>
      </c>
      <c r="EE3" s="31"/>
      <c r="EF3" s="31"/>
      <c r="EG3" s="31"/>
      <c r="EH3" s="31"/>
      <c r="EI3" s="31"/>
    </row>
    <row r="4" spans="1:139" s="30" customFormat="1" ht="15" customHeight="1" x14ac:dyDescent="0.3">
      <c r="A4" s="9">
        <v>1306</v>
      </c>
      <c r="B4" s="10">
        <v>15</v>
      </c>
      <c r="C4" s="11">
        <v>3</v>
      </c>
      <c r="D4" s="12" t="s">
        <v>131</v>
      </c>
      <c r="E4" s="12"/>
      <c r="F4" s="12" t="s">
        <v>141</v>
      </c>
      <c r="G4" s="13" t="s">
        <v>133</v>
      </c>
      <c r="H4" s="14">
        <v>46087</v>
      </c>
      <c r="I4" s="14" t="str">
        <f>TEXT(H4, "MMM-yy")</f>
        <v>Mar-26</v>
      </c>
      <c r="J4" s="13" t="s">
        <v>138</v>
      </c>
      <c r="K4" s="13" t="s">
        <v>139</v>
      </c>
      <c r="L4" s="13" t="s">
        <v>142</v>
      </c>
      <c r="M4" s="13" t="s">
        <v>143</v>
      </c>
      <c r="N4" s="15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/>
      <c r="AA4" s="18"/>
      <c r="AB4" s="18"/>
      <c r="AC4" s="18"/>
      <c r="AD4" s="18"/>
      <c r="AE4" s="18"/>
      <c r="AF4" s="18"/>
      <c r="AG4" s="18"/>
      <c r="AH4" s="18"/>
      <c r="AI4" s="18"/>
      <c r="AJ4" s="19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>
        <v>1</v>
      </c>
      <c r="BE4" s="16">
        <v>1150</v>
      </c>
      <c r="BF4" s="16"/>
      <c r="BG4" s="20"/>
      <c r="BH4" s="20"/>
      <c r="BI4" s="16"/>
      <c r="BJ4" s="16">
        <v>1</v>
      </c>
      <c r="BK4" s="16">
        <v>618.04999999999995</v>
      </c>
      <c r="BL4" s="16">
        <v>1</v>
      </c>
      <c r="BM4" s="16">
        <v>700</v>
      </c>
      <c r="BN4" s="21"/>
      <c r="BO4" s="16"/>
      <c r="BP4" s="16"/>
      <c r="BQ4" s="16"/>
      <c r="BR4" s="16"/>
      <c r="BS4" s="16"/>
      <c r="BT4" s="16"/>
      <c r="BU4" s="20"/>
      <c r="BV4" s="20"/>
      <c r="BW4" s="20"/>
      <c r="BX4" s="16"/>
      <c r="BY4" s="16"/>
      <c r="BZ4" s="16"/>
      <c r="CA4" s="16"/>
      <c r="CB4" s="16"/>
      <c r="CC4" s="16"/>
      <c r="CD4" s="16"/>
      <c r="CE4" s="16"/>
      <c r="CF4" s="19"/>
      <c r="CG4" s="16"/>
      <c r="CH4" s="16"/>
      <c r="CI4" s="16"/>
      <c r="CJ4" s="16"/>
      <c r="CK4" s="16"/>
      <c r="CL4" s="16"/>
      <c r="CM4" s="16"/>
      <c r="CN4" s="22"/>
      <c r="CO4" s="18"/>
      <c r="CP4" s="18"/>
      <c r="CQ4" s="18"/>
      <c r="CR4" s="18"/>
      <c r="CS4" s="18"/>
      <c r="CT4" s="18"/>
      <c r="CU4" s="18"/>
      <c r="CV4" s="16"/>
      <c r="CW4" s="16"/>
      <c r="CX4" s="22">
        <v>2468.0500000000002</v>
      </c>
      <c r="CY4" s="19">
        <v>672.04</v>
      </c>
      <c r="CZ4" s="16">
        <v>33.6</v>
      </c>
      <c r="DA4" s="16">
        <v>705.64</v>
      </c>
      <c r="DB4" s="23">
        <v>1</v>
      </c>
      <c r="DC4" s="26">
        <v>700</v>
      </c>
      <c r="DD4" s="18">
        <v>1</v>
      </c>
      <c r="DE4" s="18">
        <v>618.04999999999995</v>
      </c>
      <c r="DF4" s="18">
        <v>1</v>
      </c>
      <c r="DG4" s="18">
        <v>1150</v>
      </c>
      <c r="DH4" s="18">
        <v>0</v>
      </c>
      <c r="DI4" s="18">
        <v>0</v>
      </c>
      <c r="DJ4" s="25">
        <v>2468.0500000000002</v>
      </c>
      <c r="DK4" s="25">
        <f t="array" ref="DK4">SUMPRODUCT(--(MOD(COLUMN(N4:CW4)-COLUMN(O4),2)=0), N4:CW4)</f>
        <v>2468.0500000000002</v>
      </c>
      <c r="DL4" s="20">
        <f t="shared" si="0"/>
        <v>2468.0500000000002</v>
      </c>
      <c r="DM4" s="23">
        <f t="shared" si="1"/>
        <v>0</v>
      </c>
      <c r="DN4" s="26">
        <f t="shared" si="2"/>
        <v>0</v>
      </c>
      <c r="DO4" s="26">
        <f t="shared" si="3"/>
        <v>0</v>
      </c>
      <c r="DP4" s="26">
        <f t="shared" si="4"/>
        <v>700</v>
      </c>
      <c r="DQ4" s="26">
        <f t="shared" si="5"/>
        <v>618.04999999999995</v>
      </c>
      <c r="DR4" s="26">
        <f t="shared" si="6"/>
        <v>1150</v>
      </c>
      <c r="DS4" s="26">
        <f t="shared" si="7"/>
        <v>0</v>
      </c>
      <c r="DT4" s="26">
        <f t="shared" si="8"/>
        <v>2468.0500000000002</v>
      </c>
      <c r="DU4" s="26">
        <f t="shared" si="9"/>
        <v>0</v>
      </c>
      <c r="DV4" s="27">
        <v>672.04</v>
      </c>
      <c r="DW4" s="16">
        <v>33.6</v>
      </c>
      <c r="DX4" s="16">
        <v>705.64</v>
      </c>
      <c r="DY4" s="19">
        <f>SUM($DV$2:DV4)</f>
        <v>3433.1</v>
      </c>
      <c r="DZ4" s="28">
        <f>DY4/$DY$1*100</f>
        <v>0.18905755927357312</v>
      </c>
      <c r="EA4" s="29" t="b" cm="1">
        <f t="array" ref="EA4">IF(UPPER($J4)="CONTRACT",SUMPRODUCT(--(LEN(SUBSTITUTE(TRIM($N4:$Y4),"　",""))&gt;0))&gt;0,IF(UPPER($J4)="AT COST",SUMPRODUCT(--(LEN(SUBSTITUTE(TRIM($Z4:$AI4),"　",""))&gt;0))&gt;0,IF(UPPER($J4)="PORT HANDLING",SUMPRODUCT(--(LEN(SUBSTITUTE(TRIM($AJ4:$CW4),"　",""))&gt;0))&gt;0,IF(UPPER($J4)="OTHERS",SUMPRODUCT(--(LEN(SUBSTITUTE(TRIM($CV4:$CW4),"　",""))&gt;0))&gt;0,IF(UPPER($J4)="CONTRACT_MANPOWER",SUMPRODUCT(--(LEN(SUBSTITUTE(TRIM($CF4:$CM4),"　",""))&gt;0))&gt;0,IF(UPPER($J4)="CONTRACT_EQUPIMENT",SUMPRODUCT(--(LEN(SUBSTITUTE(TRIM($CN4:$CU4),"　",""))&gt;0))&gt;0,TRUE))))))</f>
        <v>1</v>
      </c>
      <c r="EE4" s="31"/>
      <c r="EF4" s="31"/>
      <c r="EG4" s="31"/>
      <c r="EH4" s="31"/>
      <c r="EI4" s="31"/>
    </row>
    <row r="5" spans="1:139" s="30" customFormat="1" ht="15" customHeight="1" x14ac:dyDescent="0.3">
      <c r="A5" s="9">
        <v>1307</v>
      </c>
      <c r="B5" s="10">
        <v>15</v>
      </c>
      <c r="C5" s="11">
        <v>4</v>
      </c>
      <c r="D5" s="12" t="s">
        <v>131</v>
      </c>
      <c r="E5" s="12"/>
      <c r="F5" s="12" t="s">
        <v>144</v>
      </c>
      <c r="G5" s="13" t="s">
        <v>133</v>
      </c>
      <c r="H5" s="14">
        <v>46087</v>
      </c>
      <c r="I5" s="14" t="str">
        <f>TEXT(H5, "MMM-yy")</f>
        <v>Mar-26</v>
      </c>
      <c r="J5" s="13" t="s">
        <v>138</v>
      </c>
      <c r="K5" s="13" t="s">
        <v>138</v>
      </c>
      <c r="L5" s="13" t="s">
        <v>145</v>
      </c>
      <c r="M5" s="13" t="s">
        <v>146</v>
      </c>
      <c r="N5" s="15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7"/>
      <c r="AA5" s="18"/>
      <c r="AB5" s="18">
        <v>14</v>
      </c>
      <c r="AC5" s="18">
        <v>5800</v>
      </c>
      <c r="AD5" s="18"/>
      <c r="AE5" s="18"/>
      <c r="AF5" s="18">
        <v>20</v>
      </c>
      <c r="AG5" s="18">
        <v>4094</v>
      </c>
      <c r="AH5" s="18"/>
      <c r="AI5" s="18"/>
      <c r="AJ5" s="19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20"/>
      <c r="BH5" s="20"/>
      <c r="BI5" s="16"/>
      <c r="BJ5" s="16"/>
      <c r="BK5" s="16"/>
      <c r="BL5" s="16"/>
      <c r="BM5" s="16"/>
      <c r="BN5" s="21"/>
      <c r="BO5" s="16"/>
      <c r="BP5" s="16"/>
      <c r="BQ5" s="16"/>
      <c r="BR5" s="16"/>
      <c r="BS5" s="16"/>
      <c r="BT5" s="16"/>
      <c r="BU5" s="20"/>
      <c r="BV5" s="20"/>
      <c r="BW5" s="20"/>
      <c r="BX5" s="16"/>
      <c r="BY5" s="16"/>
      <c r="BZ5" s="16"/>
      <c r="CA5" s="16"/>
      <c r="CB5" s="16"/>
      <c r="CC5" s="16"/>
      <c r="CD5" s="16">
        <v>217</v>
      </c>
      <c r="CE5" s="16">
        <v>3472</v>
      </c>
      <c r="CF5" s="19"/>
      <c r="CG5" s="16"/>
      <c r="CH5" s="16"/>
      <c r="CI5" s="16"/>
      <c r="CJ5" s="16"/>
      <c r="CK5" s="16"/>
      <c r="CL5" s="16"/>
      <c r="CM5" s="16"/>
      <c r="CN5" s="22">
        <v>16</v>
      </c>
      <c r="CO5" s="18">
        <v>9200</v>
      </c>
      <c r="CP5" s="18"/>
      <c r="CQ5" s="18"/>
      <c r="CR5" s="18"/>
      <c r="CS5" s="18"/>
      <c r="CT5" s="18"/>
      <c r="CU5" s="18"/>
      <c r="CV5" s="16">
        <v>1</v>
      </c>
      <c r="CW5" s="16">
        <v>205</v>
      </c>
      <c r="CX5" s="22">
        <v>22771</v>
      </c>
      <c r="CY5" s="19">
        <v>6200.41</v>
      </c>
      <c r="CZ5" s="16">
        <v>310.01</v>
      </c>
      <c r="DA5" s="16">
        <v>6510.42</v>
      </c>
      <c r="DB5" s="23">
        <v>1</v>
      </c>
      <c r="DC5" s="26">
        <v>205</v>
      </c>
      <c r="DD5" s="18">
        <v>16</v>
      </c>
      <c r="DE5" s="18">
        <v>575</v>
      </c>
      <c r="DF5" s="18">
        <v>1</v>
      </c>
      <c r="DG5" s="18">
        <v>340</v>
      </c>
      <c r="DH5" s="18">
        <v>1</v>
      </c>
      <c r="DI5" s="18">
        <v>13026</v>
      </c>
      <c r="DJ5" s="25">
        <v>22771</v>
      </c>
      <c r="DK5" s="25">
        <f t="array" ref="DK5">SUMPRODUCT(--(MOD(COLUMN(N5:CW5)-COLUMN(O5),2)=0), N5:CW5)</f>
        <v>22771</v>
      </c>
      <c r="DL5" s="20">
        <f t="shared" si="0"/>
        <v>22771</v>
      </c>
      <c r="DM5" s="23">
        <f t="shared" si="1"/>
        <v>0</v>
      </c>
      <c r="DN5" s="26">
        <f t="shared" si="2"/>
        <v>0</v>
      </c>
      <c r="DO5" s="26">
        <f t="shared" si="3"/>
        <v>0</v>
      </c>
      <c r="DP5" s="26">
        <f t="shared" si="4"/>
        <v>205</v>
      </c>
      <c r="DQ5" s="26">
        <f t="shared" si="5"/>
        <v>9200</v>
      </c>
      <c r="DR5" s="26">
        <f t="shared" si="6"/>
        <v>340</v>
      </c>
      <c r="DS5" s="26">
        <f t="shared" si="7"/>
        <v>13026</v>
      </c>
      <c r="DT5" s="26">
        <f t="shared" si="8"/>
        <v>22771</v>
      </c>
      <c r="DU5" s="26">
        <f t="shared" si="9"/>
        <v>0</v>
      </c>
      <c r="DV5" s="27">
        <v>6200.41</v>
      </c>
      <c r="DW5" s="16">
        <v>310.01</v>
      </c>
      <c r="DX5" s="16">
        <v>6510.42</v>
      </c>
      <c r="DY5" s="19">
        <f>SUM($DV$2:DV5)</f>
        <v>9633.51</v>
      </c>
      <c r="DZ5" s="28">
        <f>DY5/$DY$1*100</f>
        <v>0.53050825430006687</v>
      </c>
      <c r="EA5" s="29" t="b" cm="1">
        <f t="array" ref="EA5">IF(UPPER($J5)="CONTRACT",SUMPRODUCT(--(LEN(SUBSTITUTE(TRIM($N5:$Y5),"　",""))&gt;0))&gt;0,IF(UPPER($J5)="AT COST",SUMPRODUCT(--(LEN(SUBSTITUTE(TRIM($Z5:$AI5),"　",""))&gt;0))&gt;0,IF(UPPER($J5)="PORT HANDLING",SUMPRODUCT(--(LEN(SUBSTITUTE(TRIM($AJ5:$CW5),"　",""))&gt;0))&gt;0,IF(UPPER($J5)="OTHERS",SUMPRODUCT(--(LEN(SUBSTITUTE(TRIM($CV5:$CW5),"　",""))&gt;0))&gt;0,IF(UPPER($J5)="CONTRACT_MANPOWER",SUMPRODUCT(--(LEN(SUBSTITUTE(TRIM($CF5:$CM5),"　",""))&gt;0))&gt;0,IF(UPPER($J5)="CONTRACT_EQUPIMENT",SUMPRODUCT(--(LEN(SUBSTITUTE(TRIM($CN5:$CU5),"　",""))&gt;0))&gt;0,TRUE))))))</f>
        <v>1</v>
      </c>
      <c r="EE5" s="31"/>
      <c r="EF5" s="31"/>
      <c r="EG5" s="31"/>
      <c r="EH5" s="31"/>
      <c r="EI5" s="31"/>
    </row>
    <row r="6" spans="1:139" s="30" customFormat="1" ht="15" customHeight="1" x14ac:dyDescent="0.3">
      <c r="A6" s="9">
        <v>1308</v>
      </c>
      <c r="B6" s="10">
        <v>15</v>
      </c>
      <c r="C6" s="11">
        <v>5</v>
      </c>
      <c r="D6" s="12" t="s">
        <v>131</v>
      </c>
      <c r="E6" s="12"/>
      <c r="F6" s="12" t="s">
        <v>147</v>
      </c>
      <c r="G6" s="13" t="s">
        <v>133</v>
      </c>
      <c r="H6" s="14">
        <v>46087</v>
      </c>
      <c r="I6" s="14" t="str">
        <f>TEXT(H6, "MMM-yy")</f>
        <v>Mar-26</v>
      </c>
      <c r="J6" s="13" t="s">
        <v>138</v>
      </c>
      <c r="K6" s="13" t="s">
        <v>138</v>
      </c>
      <c r="L6" s="13" t="s">
        <v>145</v>
      </c>
      <c r="M6" s="13" t="s">
        <v>146</v>
      </c>
      <c r="N6" s="15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7"/>
      <c r="AA6" s="18"/>
      <c r="AB6" s="18"/>
      <c r="AC6" s="18"/>
      <c r="AD6" s="18"/>
      <c r="AE6" s="18"/>
      <c r="AF6" s="18"/>
      <c r="AG6" s="18"/>
      <c r="AH6" s="18"/>
      <c r="AI6" s="18"/>
      <c r="AJ6" s="19">
        <v>1</v>
      </c>
      <c r="AK6" s="16">
        <v>35</v>
      </c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20"/>
      <c r="BH6" s="20"/>
      <c r="BI6" s="16"/>
      <c r="BJ6" s="16"/>
      <c r="BK6" s="16"/>
      <c r="BL6" s="16"/>
      <c r="BM6" s="16"/>
      <c r="BN6" s="21"/>
      <c r="BO6" s="16"/>
      <c r="BP6" s="16"/>
      <c r="BQ6" s="16"/>
      <c r="BR6" s="16"/>
      <c r="BS6" s="16"/>
      <c r="BT6" s="16"/>
      <c r="BU6" s="20"/>
      <c r="BV6" s="20"/>
      <c r="BW6" s="20"/>
      <c r="BX6" s="16"/>
      <c r="BY6" s="16"/>
      <c r="BZ6" s="16"/>
      <c r="CA6" s="16"/>
      <c r="CB6" s="16"/>
      <c r="CC6" s="16"/>
      <c r="CD6" s="16">
        <v>217</v>
      </c>
      <c r="CE6" s="16">
        <v>4123</v>
      </c>
      <c r="CF6" s="19"/>
      <c r="CG6" s="16"/>
      <c r="CH6" s="16"/>
      <c r="CI6" s="16"/>
      <c r="CJ6" s="16"/>
      <c r="CK6" s="16"/>
      <c r="CL6" s="16"/>
      <c r="CM6" s="16"/>
      <c r="CN6" s="22"/>
      <c r="CO6" s="18"/>
      <c r="CP6" s="18"/>
      <c r="CQ6" s="18"/>
      <c r="CR6" s="18"/>
      <c r="CS6" s="18"/>
      <c r="CT6" s="18"/>
      <c r="CU6" s="18"/>
      <c r="CV6" s="16"/>
      <c r="CW6" s="16"/>
      <c r="CX6" s="22">
        <v>4158</v>
      </c>
      <c r="CY6" s="19">
        <v>1132.2</v>
      </c>
      <c r="CZ6" s="16">
        <v>56.61</v>
      </c>
      <c r="DA6" s="16">
        <v>1188.81</v>
      </c>
      <c r="DB6" s="23">
        <v>1</v>
      </c>
      <c r="DC6" s="26">
        <v>35</v>
      </c>
      <c r="DD6" s="18">
        <v>217</v>
      </c>
      <c r="DE6" s="18">
        <v>19</v>
      </c>
      <c r="DF6" s="18">
        <v>0</v>
      </c>
      <c r="DG6" s="18">
        <v>0</v>
      </c>
      <c r="DH6" s="18">
        <v>0</v>
      </c>
      <c r="DI6" s="18">
        <v>0</v>
      </c>
      <c r="DJ6" s="25">
        <v>4158</v>
      </c>
      <c r="DK6" s="25">
        <f t="array" ref="DK6">SUMPRODUCT(--(MOD(COLUMN(N6:CW6)-COLUMN(O6),2)=0), N6:CW6)</f>
        <v>4158</v>
      </c>
      <c r="DL6" s="20">
        <f t="shared" si="0"/>
        <v>4158</v>
      </c>
      <c r="DM6" s="23">
        <f t="shared" si="1"/>
        <v>0</v>
      </c>
      <c r="DN6" s="26">
        <f t="shared" si="2"/>
        <v>0</v>
      </c>
      <c r="DO6" s="26">
        <f t="shared" si="3"/>
        <v>0</v>
      </c>
      <c r="DP6" s="26">
        <f t="shared" si="4"/>
        <v>35</v>
      </c>
      <c r="DQ6" s="26">
        <f t="shared" si="5"/>
        <v>4123</v>
      </c>
      <c r="DR6" s="26">
        <f t="shared" si="6"/>
        <v>0</v>
      </c>
      <c r="DS6" s="26">
        <f t="shared" si="7"/>
        <v>0</v>
      </c>
      <c r="DT6" s="26">
        <f t="shared" si="8"/>
        <v>4158</v>
      </c>
      <c r="DU6" s="26">
        <f t="shared" si="9"/>
        <v>0</v>
      </c>
      <c r="DV6" s="27">
        <v>1132.2</v>
      </c>
      <c r="DW6" s="16">
        <v>56.61</v>
      </c>
      <c r="DX6" s="16">
        <v>1188.81</v>
      </c>
      <c r="DY6" s="19">
        <f>SUM($DV$2:DV6)</f>
        <v>10765.710000000001</v>
      </c>
      <c r="DZ6" s="28">
        <f>DY6/$DY$1*100</f>
        <v>0.59285743393641299</v>
      </c>
      <c r="EA6" s="29" t="b" cm="1">
        <f t="array" ref="EA6">IF(UPPER($J6)="CONTRACT",SUMPRODUCT(--(LEN(SUBSTITUTE(TRIM($N6:$Y6),"　",""))&gt;0))&gt;0,IF(UPPER($J6)="AT COST",SUMPRODUCT(--(LEN(SUBSTITUTE(TRIM($Z6:$AI6),"　",""))&gt;0))&gt;0,IF(UPPER($J6)="PORT HANDLING",SUMPRODUCT(--(LEN(SUBSTITUTE(TRIM($AJ6:$CW6),"　",""))&gt;0))&gt;0,IF(UPPER($J6)="OTHERS",SUMPRODUCT(--(LEN(SUBSTITUTE(TRIM($CV6:$CW6),"　",""))&gt;0))&gt;0,IF(UPPER($J6)="CONTRACT_MANPOWER",SUMPRODUCT(--(LEN(SUBSTITUTE(TRIM($CF6:$CM6),"　",""))&gt;0))&gt;0,IF(UPPER($J6)="CONTRACT_EQUPIMENT",SUMPRODUCT(--(LEN(SUBSTITUTE(TRIM($CN6:$CU6),"　",""))&gt;0))&gt;0,TRUE))))))</f>
        <v>1</v>
      </c>
      <c r="EE6" s="31"/>
      <c r="EF6" s="31"/>
      <c r="EG6" s="31"/>
      <c r="EH6" s="31"/>
      <c r="EI6" s="31"/>
    </row>
    <row r="7" spans="1:139" s="30" customFormat="1" ht="15" customHeight="1" x14ac:dyDescent="0.3">
      <c r="A7" s="9">
        <v>1309</v>
      </c>
      <c r="B7" s="10">
        <v>15</v>
      </c>
      <c r="C7" s="11">
        <v>6</v>
      </c>
      <c r="D7" s="12" t="s">
        <v>131</v>
      </c>
      <c r="E7" s="12"/>
      <c r="F7" s="12" t="s">
        <v>148</v>
      </c>
      <c r="G7" s="13" t="s">
        <v>133</v>
      </c>
      <c r="H7" s="14">
        <v>46087</v>
      </c>
      <c r="I7" s="14" t="str">
        <f>TEXT(H7, "MMM-yy")</f>
        <v>Mar-26</v>
      </c>
      <c r="J7" s="13" t="s">
        <v>149</v>
      </c>
      <c r="K7" s="13" t="s">
        <v>149</v>
      </c>
      <c r="L7" s="13" t="s">
        <v>150</v>
      </c>
      <c r="M7" s="13" t="s">
        <v>151</v>
      </c>
      <c r="N7" s="15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/>
      <c r="AA7" s="18"/>
      <c r="AB7" s="18">
        <v>2</v>
      </c>
      <c r="AC7" s="18">
        <v>840</v>
      </c>
      <c r="AD7" s="18"/>
      <c r="AE7" s="18"/>
      <c r="AF7" s="18"/>
      <c r="AG7" s="18"/>
      <c r="AH7" s="18"/>
      <c r="AI7" s="18"/>
      <c r="AJ7" s="19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20"/>
      <c r="BH7" s="20"/>
      <c r="BI7" s="16"/>
      <c r="BJ7" s="16"/>
      <c r="BK7" s="16"/>
      <c r="BL7" s="16"/>
      <c r="BM7" s="16"/>
      <c r="BN7" s="21"/>
      <c r="BO7" s="16"/>
      <c r="BP7" s="16"/>
      <c r="BQ7" s="16"/>
      <c r="BR7" s="16"/>
      <c r="BS7" s="16"/>
      <c r="BT7" s="16"/>
      <c r="BU7" s="20"/>
      <c r="BV7" s="20"/>
      <c r="BW7" s="20"/>
      <c r="BX7" s="16"/>
      <c r="BY7" s="16"/>
      <c r="BZ7" s="16"/>
      <c r="CA7" s="16"/>
      <c r="CB7" s="16"/>
      <c r="CC7" s="16"/>
      <c r="CD7" s="16"/>
      <c r="CE7" s="16"/>
      <c r="CF7" s="19">
        <v>6</v>
      </c>
      <c r="CG7" s="16">
        <v>270</v>
      </c>
      <c r="CH7" s="16"/>
      <c r="CI7" s="16"/>
      <c r="CJ7" s="16">
        <v>3</v>
      </c>
      <c r="CK7" s="16">
        <v>150</v>
      </c>
      <c r="CL7" s="16"/>
      <c r="CM7" s="16"/>
      <c r="CN7" s="22"/>
      <c r="CO7" s="18"/>
      <c r="CP7" s="18"/>
      <c r="CQ7" s="18"/>
      <c r="CR7" s="18"/>
      <c r="CS7" s="18"/>
      <c r="CT7" s="18"/>
      <c r="CU7" s="18"/>
      <c r="CV7" s="16"/>
      <c r="CW7" s="16"/>
      <c r="CX7" s="22">
        <v>1260</v>
      </c>
      <c r="CY7" s="19">
        <v>343.09</v>
      </c>
      <c r="CZ7" s="16">
        <v>17.149999999999999</v>
      </c>
      <c r="DA7" s="16">
        <v>360.24</v>
      </c>
      <c r="DB7" s="23">
        <v>2</v>
      </c>
      <c r="DC7" s="26">
        <v>420</v>
      </c>
      <c r="DD7" s="18">
        <v>6</v>
      </c>
      <c r="DE7" s="18">
        <v>45</v>
      </c>
      <c r="DF7" s="18">
        <v>3</v>
      </c>
      <c r="DG7" s="18">
        <v>50</v>
      </c>
      <c r="DH7" s="18">
        <v>0</v>
      </c>
      <c r="DI7" s="18">
        <v>0</v>
      </c>
      <c r="DJ7" s="25">
        <v>1260</v>
      </c>
      <c r="DK7" s="25">
        <f t="array" ref="DK7">SUMPRODUCT(--(MOD(COLUMN(N7:CW7)-COLUMN(O7),2)=0), N7:CW7)</f>
        <v>1260</v>
      </c>
      <c r="DL7" s="20">
        <f t="shared" si="0"/>
        <v>1260</v>
      </c>
      <c r="DM7" s="23">
        <f t="shared" si="1"/>
        <v>0</v>
      </c>
      <c r="DN7" s="26">
        <f t="shared" si="2"/>
        <v>0</v>
      </c>
      <c r="DO7" s="26">
        <f t="shared" si="3"/>
        <v>0</v>
      </c>
      <c r="DP7" s="26">
        <f t="shared" si="4"/>
        <v>840</v>
      </c>
      <c r="DQ7" s="26">
        <f t="shared" si="5"/>
        <v>270</v>
      </c>
      <c r="DR7" s="26">
        <f t="shared" si="6"/>
        <v>150</v>
      </c>
      <c r="DS7" s="26">
        <f t="shared" si="7"/>
        <v>0</v>
      </c>
      <c r="DT7" s="26">
        <f t="shared" si="8"/>
        <v>1260</v>
      </c>
      <c r="DU7" s="26">
        <f t="shared" si="9"/>
        <v>0</v>
      </c>
      <c r="DV7" s="27">
        <v>343.09</v>
      </c>
      <c r="DW7" s="16">
        <v>17.149999999999999</v>
      </c>
      <c r="DX7" s="16">
        <v>360.24</v>
      </c>
      <c r="DY7" s="19">
        <f>SUM($DV$2:DV7)</f>
        <v>11108.800000000001</v>
      </c>
      <c r="DZ7" s="28">
        <f>DY7/$DY$1*100</f>
        <v>0.61175107467253187</v>
      </c>
      <c r="EA7" s="29" t="b" cm="1">
        <f t="array" ref="EA7">IF(UPPER($J7)="CONTRACT",SUMPRODUCT(--(LEN(SUBSTITUTE(TRIM($N7:$Y7),"　",""))&gt;0))&gt;0,IF(UPPER($J7)="AT COST",SUMPRODUCT(--(LEN(SUBSTITUTE(TRIM($Z7:$AI7),"　",""))&gt;0))&gt;0,IF(UPPER($J7)="PORT HANDLING",SUMPRODUCT(--(LEN(SUBSTITUTE(TRIM($AJ7:$CW7),"　",""))&gt;0))&gt;0,IF(UPPER($J7)="OTHERS",SUMPRODUCT(--(LEN(SUBSTITUTE(TRIM($CV7:$CW7),"　",""))&gt;0))&gt;0,IF(UPPER($J7)="CONTRACT_MANPOWER",SUMPRODUCT(--(LEN(SUBSTITUTE(TRIM($CF7:$CM7),"　",""))&gt;0))&gt;0,IF(UPPER($J7)="CONTRACT_EQUPIMENT",SUMPRODUCT(--(LEN(SUBSTITUTE(TRIM($CN7:$CU7),"　",""))&gt;0))&gt;0,TRUE))))))</f>
        <v>1</v>
      </c>
      <c r="EE7" s="31"/>
      <c r="EF7" s="31"/>
      <c r="EG7" s="31"/>
      <c r="EH7" s="31"/>
      <c r="EI7" s="31"/>
    </row>
    <row r="8" spans="1:139" s="30" customFormat="1" ht="15" customHeight="1" x14ac:dyDescent="0.3">
      <c r="A8" s="9">
        <v>1310</v>
      </c>
      <c r="B8" s="10">
        <v>15</v>
      </c>
      <c r="C8" s="11">
        <v>7</v>
      </c>
      <c r="D8" s="12" t="s">
        <v>131</v>
      </c>
      <c r="E8" s="12"/>
      <c r="F8" s="12" t="s">
        <v>152</v>
      </c>
      <c r="G8" s="13" t="s">
        <v>133</v>
      </c>
      <c r="H8" s="14">
        <v>46087</v>
      </c>
      <c r="I8" s="14" t="str">
        <f>TEXT(H8, "MMM-yy")</f>
        <v>Mar-26</v>
      </c>
      <c r="J8" s="13" t="s">
        <v>149</v>
      </c>
      <c r="K8" s="13" t="s">
        <v>149</v>
      </c>
      <c r="L8" s="13" t="s">
        <v>150</v>
      </c>
      <c r="M8" s="13" t="s">
        <v>151</v>
      </c>
      <c r="N8" s="15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7"/>
      <c r="AA8" s="18"/>
      <c r="AB8" s="18">
        <v>2</v>
      </c>
      <c r="AC8" s="18">
        <v>882</v>
      </c>
      <c r="AD8" s="18"/>
      <c r="AE8" s="18"/>
      <c r="AF8" s="18"/>
      <c r="AG8" s="18"/>
      <c r="AH8" s="18"/>
      <c r="AI8" s="18"/>
      <c r="AJ8" s="19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20"/>
      <c r="BH8" s="20"/>
      <c r="BI8" s="16"/>
      <c r="BJ8" s="16"/>
      <c r="BK8" s="16"/>
      <c r="BL8" s="16"/>
      <c r="BM8" s="16"/>
      <c r="BN8" s="21"/>
      <c r="BO8" s="16"/>
      <c r="BP8" s="16"/>
      <c r="BQ8" s="16"/>
      <c r="BR8" s="16"/>
      <c r="BS8" s="16"/>
      <c r="BT8" s="16"/>
      <c r="BU8" s="20"/>
      <c r="BV8" s="20"/>
      <c r="BW8" s="20"/>
      <c r="BX8" s="16"/>
      <c r="BY8" s="16"/>
      <c r="BZ8" s="16"/>
      <c r="CA8" s="16"/>
      <c r="CB8" s="16"/>
      <c r="CC8" s="16"/>
      <c r="CD8" s="16"/>
      <c r="CE8" s="16"/>
      <c r="CF8" s="19">
        <v>6</v>
      </c>
      <c r="CG8" s="16">
        <v>283.5</v>
      </c>
      <c r="CH8" s="16"/>
      <c r="CI8" s="16"/>
      <c r="CJ8" s="16">
        <v>3</v>
      </c>
      <c r="CK8" s="16">
        <v>157.5</v>
      </c>
      <c r="CL8" s="16"/>
      <c r="CM8" s="16"/>
      <c r="CN8" s="22"/>
      <c r="CO8" s="18"/>
      <c r="CP8" s="18"/>
      <c r="CQ8" s="18"/>
      <c r="CR8" s="18"/>
      <c r="CS8" s="18"/>
      <c r="CT8" s="18"/>
      <c r="CU8" s="18"/>
      <c r="CV8" s="16"/>
      <c r="CW8" s="16"/>
      <c r="CX8" s="22">
        <v>1323</v>
      </c>
      <c r="CY8" s="19">
        <v>360.25</v>
      </c>
      <c r="CZ8" s="16">
        <v>18.010000000000002</v>
      </c>
      <c r="DA8" s="16">
        <v>378.26</v>
      </c>
      <c r="DB8" s="23">
        <v>2</v>
      </c>
      <c r="DC8" s="26">
        <v>441</v>
      </c>
      <c r="DD8" s="18">
        <v>6</v>
      </c>
      <c r="DE8" s="18">
        <v>47.25</v>
      </c>
      <c r="DF8" s="18">
        <v>3</v>
      </c>
      <c r="DG8" s="18">
        <v>52.5</v>
      </c>
      <c r="DH8" s="18">
        <v>0</v>
      </c>
      <c r="DI8" s="18">
        <v>0</v>
      </c>
      <c r="DJ8" s="25">
        <v>1323</v>
      </c>
      <c r="DK8" s="25">
        <f t="array" ref="DK8">SUMPRODUCT(--(MOD(COLUMN(N8:CW8)-COLUMN(O8),2)=0), N8:CW8)</f>
        <v>1323</v>
      </c>
      <c r="DL8" s="20">
        <f t="shared" si="0"/>
        <v>1323</v>
      </c>
      <c r="DM8" s="23">
        <f t="shared" si="1"/>
        <v>0</v>
      </c>
      <c r="DN8" s="26">
        <f t="shared" si="2"/>
        <v>0</v>
      </c>
      <c r="DO8" s="26">
        <f t="shared" si="3"/>
        <v>0</v>
      </c>
      <c r="DP8" s="26">
        <f t="shared" si="4"/>
        <v>882</v>
      </c>
      <c r="DQ8" s="26">
        <f t="shared" si="5"/>
        <v>283.5</v>
      </c>
      <c r="DR8" s="26">
        <f t="shared" si="6"/>
        <v>157.5</v>
      </c>
      <c r="DS8" s="26">
        <f t="shared" si="7"/>
        <v>0</v>
      </c>
      <c r="DT8" s="26">
        <f t="shared" si="8"/>
        <v>1323</v>
      </c>
      <c r="DU8" s="26">
        <f t="shared" si="9"/>
        <v>0</v>
      </c>
      <c r="DV8" s="27">
        <v>360.25</v>
      </c>
      <c r="DW8" s="16">
        <v>18.010000000000002</v>
      </c>
      <c r="DX8" s="16">
        <v>378.26</v>
      </c>
      <c r="DY8" s="19">
        <f>SUM($DV$2:DV8)</f>
        <v>11469.050000000001</v>
      </c>
      <c r="DZ8" s="28">
        <f>DY8/$DY$1*100</f>
        <v>0.63158970032523787</v>
      </c>
      <c r="EA8" s="29" t="b" cm="1">
        <f t="array" ref="EA8">IF(UPPER($J8)="CONTRACT",SUMPRODUCT(--(LEN(SUBSTITUTE(TRIM($N8:$Y8),"　",""))&gt;0))&gt;0,IF(UPPER($J8)="AT COST",SUMPRODUCT(--(LEN(SUBSTITUTE(TRIM($Z8:$AI8),"　",""))&gt;0))&gt;0,IF(UPPER($J8)="PORT HANDLING",SUMPRODUCT(--(LEN(SUBSTITUTE(TRIM($AJ8:$CW8),"　",""))&gt;0))&gt;0,IF(UPPER($J8)="OTHERS",SUMPRODUCT(--(LEN(SUBSTITUTE(TRIM($CV8:$CW8),"　",""))&gt;0))&gt;0,IF(UPPER($J8)="CONTRACT_MANPOWER",SUMPRODUCT(--(LEN(SUBSTITUTE(TRIM($CF8:$CM8),"　",""))&gt;0))&gt;0,IF(UPPER($J8)="CONTRACT_EQUPIMENT",SUMPRODUCT(--(LEN(SUBSTITUTE(TRIM($CN8:$CU8),"　",""))&gt;0))&gt;0,TRUE))))))</f>
        <v>1</v>
      </c>
      <c r="EE8" s="31"/>
      <c r="EF8" s="31"/>
      <c r="EG8" s="31"/>
      <c r="EH8" s="31"/>
      <c r="EI8" s="31"/>
    </row>
    <row r="9" spans="1:139" s="30" customFormat="1" ht="15" customHeight="1" x14ac:dyDescent="0.3">
      <c r="A9" s="9">
        <v>1311</v>
      </c>
      <c r="B9" s="10">
        <v>15</v>
      </c>
      <c r="C9" s="11">
        <v>8</v>
      </c>
      <c r="D9" s="12" t="s">
        <v>131</v>
      </c>
      <c r="E9" s="12"/>
      <c r="F9" s="12" t="s">
        <v>153</v>
      </c>
      <c r="G9" s="13" t="s">
        <v>133</v>
      </c>
      <c r="H9" s="14">
        <v>46087</v>
      </c>
      <c r="I9" s="14" t="str">
        <f>TEXT(H9, "MMM-yy")</f>
        <v>Mar-26</v>
      </c>
      <c r="J9" s="13" t="s">
        <v>138</v>
      </c>
      <c r="K9" s="13" t="s">
        <v>154</v>
      </c>
      <c r="L9" s="13" t="s">
        <v>155</v>
      </c>
      <c r="M9" s="13" t="s">
        <v>156</v>
      </c>
      <c r="N9" s="15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7"/>
      <c r="AA9" s="18"/>
      <c r="AB9" s="18">
        <v>11</v>
      </c>
      <c r="AC9" s="18">
        <v>4460</v>
      </c>
      <c r="AD9" s="18"/>
      <c r="AE9" s="18"/>
      <c r="AF9" s="18">
        <v>3</v>
      </c>
      <c r="AG9" s="18">
        <v>1100</v>
      </c>
      <c r="AH9" s="18"/>
      <c r="AI9" s="18"/>
      <c r="AJ9" s="19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20"/>
      <c r="BH9" s="20"/>
      <c r="BI9" s="16"/>
      <c r="BJ9" s="16"/>
      <c r="BK9" s="16"/>
      <c r="BL9" s="16"/>
      <c r="BM9" s="16"/>
      <c r="BN9" s="21"/>
      <c r="BO9" s="16"/>
      <c r="BP9" s="16"/>
      <c r="BQ9" s="16"/>
      <c r="BR9" s="16"/>
      <c r="BS9" s="16"/>
      <c r="BT9" s="16"/>
      <c r="BU9" s="20"/>
      <c r="BV9" s="20"/>
      <c r="BW9" s="20"/>
      <c r="BX9" s="16"/>
      <c r="BY9" s="16"/>
      <c r="BZ9" s="16"/>
      <c r="CA9" s="16"/>
      <c r="CB9" s="16"/>
      <c r="CC9" s="16"/>
      <c r="CD9" s="16"/>
      <c r="CE9" s="16"/>
      <c r="CF9" s="19">
        <v>60</v>
      </c>
      <c r="CG9" s="16">
        <v>2700</v>
      </c>
      <c r="CH9" s="16"/>
      <c r="CI9" s="16"/>
      <c r="CJ9" s="16">
        <v>10</v>
      </c>
      <c r="CK9" s="16">
        <v>500</v>
      </c>
      <c r="CL9" s="16"/>
      <c r="CM9" s="16"/>
      <c r="CN9" s="22">
        <v>7</v>
      </c>
      <c r="CO9" s="18">
        <v>5600</v>
      </c>
      <c r="CP9" s="18"/>
      <c r="CQ9" s="18"/>
      <c r="CR9" s="18"/>
      <c r="CS9" s="18"/>
      <c r="CT9" s="18"/>
      <c r="CU9" s="18"/>
      <c r="CV9" s="16"/>
      <c r="CW9" s="16"/>
      <c r="CX9" s="22">
        <v>14360</v>
      </c>
      <c r="CY9" s="19">
        <v>3910.14</v>
      </c>
      <c r="CZ9" s="16">
        <v>195.51</v>
      </c>
      <c r="DA9" s="16">
        <v>4105.6499999999996</v>
      </c>
      <c r="DB9" s="23">
        <v>7</v>
      </c>
      <c r="DC9" s="26">
        <v>800</v>
      </c>
      <c r="DD9" s="18">
        <v>2</v>
      </c>
      <c r="DE9" s="18">
        <v>340</v>
      </c>
      <c r="DF9" s="18">
        <v>9</v>
      </c>
      <c r="DG9" s="18">
        <v>420</v>
      </c>
      <c r="DH9" s="18">
        <v>1</v>
      </c>
      <c r="DI9" s="18">
        <v>4300</v>
      </c>
      <c r="DJ9" s="25">
        <v>14360</v>
      </c>
      <c r="DK9" s="25">
        <f t="array" ref="DK9">SUMPRODUCT(--(MOD(COLUMN(N9:CW9)-COLUMN(O9),2)=0), N9:CW9)</f>
        <v>14360</v>
      </c>
      <c r="DL9" s="20">
        <f t="shared" si="0"/>
        <v>14360</v>
      </c>
      <c r="DM9" s="23">
        <f t="shared" si="1"/>
        <v>0</v>
      </c>
      <c r="DN9" s="26">
        <f t="shared" si="2"/>
        <v>0</v>
      </c>
      <c r="DO9" s="26">
        <f t="shared" si="3"/>
        <v>0</v>
      </c>
      <c r="DP9" s="26">
        <f t="shared" si="4"/>
        <v>5600</v>
      </c>
      <c r="DQ9" s="26">
        <f t="shared" si="5"/>
        <v>680</v>
      </c>
      <c r="DR9" s="26">
        <f t="shared" si="6"/>
        <v>3780</v>
      </c>
      <c r="DS9" s="26">
        <f t="shared" si="7"/>
        <v>4300</v>
      </c>
      <c r="DT9" s="26">
        <f t="shared" si="8"/>
        <v>14360</v>
      </c>
      <c r="DU9" s="26">
        <f t="shared" si="9"/>
        <v>0</v>
      </c>
      <c r="DV9" s="27">
        <v>3910.14</v>
      </c>
      <c r="DW9" s="16">
        <v>195.51</v>
      </c>
      <c r="DX9" s="16">
        <v>4105.6499999999996</v>
      </c>
      <c r="DY9" s="19">
        <f>SUM($DV$2:DV9)</f>
        <v>15379.19</v>
      </c>
      <c r="DZ9" s="28">
        <f>DY9/$DY$1*100</f>
        <v>0.84691739972751845</v>
      </c>
      <c r="EA9" s="29" t="b" cm="1">
        <f t="array" ref="EA9">IF(UPPER($J9)="CONTRACT",SUMPRODUCT(--(LEN(SUBSTITUTE(TRIM($N9:$Y9),"　",""))&gt;0))&gt;0,IF(UPPER($J9)="AT COST",SUMPRODUCT(--(LEN(SUBSTITUTE(TRIM($Z9:$AI9),"　",""))&gt;0))&gt;0,IF(UPPER($J9)="PORT HANDLING",SUMPRODUCT(--(LEN(SUBSTITUTE(TRIM($AJ9:$CW9),"　",""))&gt;0))&gt;0,IF(UPPER($J9)="OTHERS",SUMPRODUCT(--(LEN(SUBSTITUTE(TRIM($CV9:$CW9),"　",""))&gt;0))&gt;0,IF(UPPER($J9)="CONTRACT_MANPOWER",SUMPRODUCT(--(LEN(SUBSTITUTE(TRIM($CF9:$CM9),"　",""))&gt;0))&gt;0,IF(UPPER($J9)="CONTRACT_EQUPIMENT",SUMPRODUCT(--(LEN(SUBSTITUTE(TRIM($CN9:$CU9),"　",""))&gt;0))&gt;0,TRUE))))))</f>
        <v>1</v>
      </c>
      <c r="EE9" s="31"/>
      <c r="EF9" s="31"/>
      <c r="EG9" s="31"/>
      <c r="EH9" s="31"/>
      <c r="EI9" s="31"/>
    </row>
    <row r="10" spans="1:139" s="30" customFormat="1" ht="15" customHeight="1" x14ac:dyDescent="0.3">
      <c r="A10" s="9">
        <v>1312</v>
      </c>
      <c r="B10" s="10">
        <v>15</v>
      </c>
      <c r="C10" s="11">
        <v>9</v>
      </c>
      <c r="D10" s="12" t="s">
        <v>131</v>
      </c>
      <c r="E10" s="12"/>
      <c r="F10" s="12" t="s">
        <v>157</v>
      </c>
      <c r="G10" s="13" t="s">
        <v>158</v>
      </c>
      <c r="H10" s="14">
        <v>46087</v>
      </c>
      <c r="I10" s="14" t="str">
        <f>TEXT(H10, "MMM-yy")</f>
        <v>Mar-26</v>
      </c>
      <c r="J10" s="13" t="s">
        <v>134</v>
      </c>
      <c r="K10" s="13" t="s">
        <v>134</v>
      </c>
      <c r="L10" s="13" t="s">
        <v>159</v>
      </c>
      <c r="M10" s="13" t="s">
        <v>160</v>
      </c>
      <c r="N10" s="15"/>
      <c r="O10" s="16"/>
      <c r="P10" s="16"/>
      <c r="Q10" s="16"/>
      <c r="R10" s="16"/>
      <c r="S10" s="16"/>
      <c r="T10" s="16"/>
      <c r="U10" s="16"/>
      <c r="V10" s="16"/>
      <c r="W10" s="16"/>
      <c r="X10" s="16">
        <v>0.1</v>
      </c>
      <c r="Y10" s="16">
        <v>5468.02</v>
      </c>
      <c r="Z10" s="17"/>
      <c r="AA10" s="18"/>
      <c r="AB10" s="18"/>
      <c r="AC10" s="18"/>
      <c r="AD10" s="18"/>
      <c r="AE10" s="18"/>
      <c r="AF10" s="18"/>
      <c r="AG10" s="18"/>
      <c r="AH10" s="18"/>
      <c r="AI10" s="18"/>
      <c r="AJ10" s="19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20"/>
      <c r="BH10" s="20"/>
      <c r="BI10" s="16"/>
      <c r="BJ10" s="16"/>
      <c r="BK10" s="16"/>
      <c r="BL10" s="16"/>
      <c r="BM10" s="16"/>
      <c r="BN10" s="21"/>
      <c r="BO10" s="16"/>
      <c r="BP10" s="16"/>
      <c r="BQ10" s="16"/>
      <c r="BR10" s="16"/>
      <c r="BS10" s="16"/>
      <c r="BT10" s="16"/>
      <c r="BU10" s="20"/>
      <c r="BV10" s="20"/>
      <c r="BW10" s="20"/>
      <c r="BX10" s="16"/>
      <c r="BY10" s="16"/>
      <c r="BZ10" s="16"/>
      <c r="CA10" s="16"/>
      <c r="CB10" s="16"/>
      <c r="CC10" s="16"/>
      <c r="CD10" s="16"/>
      <c r="CE10" s="16"/>
      <c r="CF10" s="19"/>
      <c r="CG10" s="16"/>
      <c r="CH10" s="16"/>
      <c r="CI10" s="16"/>
      <c r="CJ10" s="16"/>
      <c r="CK10" s="16"/>
      <c r="CL10" s="16"/>
      <c r="CM10" s="16"/>
      <c r="CN10" s="22"/>
      <c r="CO10" s="18"/>
      <c r="CP10" s="18"/>
      <c r="CQ10" s="18"/>
      <c r="CR10" s="18"/>
      <c r="CS10" s="18"/>
      <c r="CT10" s="18"/>
      <c r="CU10" s="18"/>
      <c r="CV10" s="16"/>
      <c r="CW10" s="16"/>
      <c r="CX10" s="22">
        <v>5468.02</v>
      </c>
      <c r="CY10" s="19">
        <v>1488.91</v>
      </c>
      <c r="CZ10" s="16">
        <v>74.45</v>
      </c>
      <c r="DA10" s="16">
        <v>1563.36</v>
      </c>
      <c r="DB10" s="23">
        <v>0.1</v>
      </c>
      <c r="DC10" s="24">
        <v>54680.2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25">
        <v>5468.02</v>
      </c>
      <c r="DK10" s="25">
        <f t="array" ref="DK10">SUMPRODUCT(--(MOD(COLUMN(N10:CW10)-COLUMN(O10),2)=0), N10:CW10)</f>
        <v>5468.02</v>
      </c>
      <c r="DL10" s="20">
        <f t="shared" si="0"/>
        <v>5468.02</v>
      </c>
      <c r="DM10" s="23">
        <f t="shared" si="1"/>
        <v>0</v>
      </c>
      <c r="DN10" s="26">
        <f t="shared" si="2"/>
        <v>0</v>
      </c>
      <c r="DO10" s="26">
        <f t="shared" si="3"/>
        <v>0</v>
      </c>
      <c r="DP10" s="26">
        <f t="shared" si="4"/>
        <v>5468.02</v>
      </c>
      <c r="DQ10" s="26">
        <f t="shared" si="5"/>
        <v>0</v>
      </c>
      <c r="DR10" s="26">
        <f t="shared" si="6"/>
        <v>0</v>
      </c>
      <c r="DS10" s="26">
        <f t="shared" si="7"/>
        <v>0</v>
      </c>
      <c r="DT10" s="26">
        <f t="shared" si="8"/>
        <v>5468.02</v>
      </c>
      <c r="DU10" s="26">
        <f t="shared" si="9"/>
        <v>0</v>
      </c>
      <c r="DV10" s="27">
        <v>1488.91</v>
      </c>
      <c r="DW10" s="16">
        <v>74.45</v>
      </c>
      <c r="DX10" s="16">
        <v>1563.36</v>
      </c>
      <c r="DY10" s="19">
        <f>SUM($DV$2:DV10)</f>
        <v>16868.100000000002</v>
      </c>
      <c r="DZ10" s="28">
        <f>DY10/$DY$1*100</f>
        <v>0.928910260575736</v>
      </c>
      <c r="EA10" s="29" t="b" cm="1">
        <f t="array" ref="EA10">IF(UPPER($J10)="CONTRACT",SUMPRODUCT(--(LEN(SUBSTITUTE(TRIM($N10:$Y10),"　",""))&gt;0))&gt;0,IF(UPPER($J10)="AT COST",SUMPRODUCT(--(LEN(SUBSTITUTE(TRIM($Z10:$AI10),"　",""))&gt;0))&gt;0,IF(UPPER($J10)="PORT HANDLING",SUMPRODUCT(--(LEN(SUBSTITUTE(TRIM($AJ10:$CW10),"　",""))&gt;0))&gt;0,IF(UPPER($J10)="OTHERS",SUMPRODUCT(--(LEN(SUBSTITUTE(TRIM($CV10:$CW10),"　",""))&gt;0))&gt;0,IF(UPPER($J10)="CONTRACT_MANPOWER",SUMPRODUCT(--(LEN(SUBSTITUTE(TRIM($CF10:$CM10),"　",""))&gt;0))&gt;0,IF(UPPER($J10)="CONTRACT_EQUPIMENT",SUMPRODUCT(--(LEN(SUBSTITUTE(TRIM($CN10:$CU10),"　",""))&gt;0))&gt;0,TRUE))))))</f>
        <v>1</v>
      </c>
      <c r="EE10" s="31"/>
      <c r="EF10" s="31"/>
      <c r="EG10" s="31"/>
      <c r="EH10" s="31"/>
      <c r="EI10" s="31"/>
    </row>
    <row r="11" spans="1:139" s="30" customFormat="1" ht="15" customHeight="1" x14ac:dyDescent="0.3">
      <c r="A11" s="9">
        <v>1313</v>
      </c>
      <c r="B11" s="10">
        <v>15</v>
      </c>
      <c r="C11" s="11">
        <v>10</v>
      </c>
      <c r="D11" s="12" t="s">
        <v>131</v>
      </c>
      <c r="E11" s="12"/>
      <c r="F11" s="12" t="s">
        <v>161</v>
      </c>
      <c r="G11" s="13" t="s">
        <v>133</v>
      </c>
      <c r="H11" s="14">
        <v>46087</v>
      </c>
      <c r="I11" s="14" t="str">
        <f>TEXT(H11, "MMM-yy")</f>
        <v>Mar-26</v>
      </c>
      <c r="J11" s="13" t="s">
        <v>162</v>
      </c>
      <c r="K11" s="13" t="s">
        <v>139</v>
      </c>
      <c r="L11" s="13" t="s">
        <v>163</v>
      </c>
      <c r="M11" s="13" t="s">
        <v>164</v>
      </c>
      <c r="N11" s="15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7"/>
      <c r="AA11" s="18"/>
      <c r="AB11" s="18"/>
      <c r="AC11" s="18"/>
      <c r="AD11" s="18"/>
      <c r="AE11" s="18"/>
      <c r="AF11" s="18"/>
      <c r="AG11" s="18"/>
      <c r="AH11" s="18"/>
      <c r="AI11" s="18"/>
      <c r="AJ11" s="19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20"/>
      <c r="BH11" s="20"/>
      <c r="BI11" s="16"/>
      <c r="BJ11" s="16"/>
      <c r="BK11" s="16"/>
      <c r="BL11" s="16"/>
      <c r="BM11" s="16"/>
      <c r="BN11" s="21"/>
      <c r="BO11" s="16"/>
      <c r="BP11" s="16"/>
      <c r="BQ11" s="16"/>
      <c r="BR11" s="16"/>
      <c r="BS11" s="16"/>
      <c r="BT11" s="16"/>
      <c r="BU11" s="20"/>
      <c r="BV11" s="20"/>
      <c r="BW11" s="20"/>
      <c r="BX11" s="16"/>
      <c r="BY11" s="16"/>
      <c r="BZ11" s="16"/>
      <c r="CA11" s="16"/>
      <c r="CB11" s="16"/>
      <c r="CC11" s="16"/>
      <c r="CD11" s="16"/>
      <c r="CE11" s="16"/>
      <c r="CF11" s="19"/>
      <c r="CG11" s="16"/>
      <c r="CH11" s="16"/>
      <c r="CI11" s="16"/>
      <c r="CJ11" s="16"/>
      <c r="CK11" s="16"/>
      <c r="CL11" s="16"/>
      <c r="CM11" s="16"/>
      <c r="CN11" s="22"/>
      <c r="CO11" s="18"/>
      <c r="CP11" s="18"/>
      <c r="CQ11" s="18"/>
      <c r="CR11" s="18"/>
      <c r="CS11" s="18"/>
      <c r="CT11" s="18"/>
      <c r="CU11" s="18"/>
      <c r="CV11" s="16">
        <v>2</v>
      </c>
      <c r="CW11" s="16">
        <v>400.01</v>
      </c>
      <c r="CX11" s="22">
        <v>400.01</v>
      </c>
      <c r="CY11" s="19">
        <v>108.92</v>
      </c>
      <c r="CZ11" s="16">
        <v>5.45</v>
      </c>
      <c r="DA11" s="16">
        <v>114.37</v>
      </c>
      <c r="DB11" s="23">
        <v>2</v>
      </c>
      <c r="DC11" s="26">
        <v>200.005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25">
        <v>400.01</v>
      </c>
      <c r="DK11" s="25">
        <f t="array" ref="DK11">SUMPRODUCT(--(MOD(COLUMN(N11:CW11)-COLUMN(O11),2)=0), N11:CW11)</f>
        <v>400.01</v>
      </c>
      <c r="DL11" s="20">
        <f t="shared" si="0"/>
        <v>400.01</v>
      </c>
      <c r="DM11" s="23">
        <f t="shared" si="1"/>
        <v>0</v>
      </c>
      <c r="DN11" s="26">
        <f t="shared" si="2"/>
        <v>0</v>
      </c>
      <c r="DO11" s="26">
        <f t="shared" si="3"/>
        <v>0</v>
      </c>
      <c r="DP11" s="26">
        <f t="shared" si="4"/>
        <v>400.01</v>
      </c>
      <c r="DQ11" s="26">
        <f t="shared" si="5"/>
        <v>0</v>
      </c>
      <c r="DR11" s="26">
        <f t="shared" si="6"/>
        <v>0</v>
      </c>
      <c r="DS11" s="26">
        <f t="shared" si="7"/>
        <v>0</v>
      </c>
      <c r="DT11" s="26">
        <f t="shared" si="8"/>
        <v>400.01</v>
      </c>
      <c r="DU11" s="26">
        <f t="shared" si="9"/>
        <v>0</v>
      </c>
      <c r="DV11" s="27">
        <v>108.92</v>
      </c>
      <c r="DW11" s="16">
        <v>5.45</v>
      </c>
      <c r="DX11" s="16">
        <v>114.37</v>
      </c>
      <c r="DY11" s="19">
        <f>SUM($DV$2:DV11)</f>
        <v>16977.02</v>
      </c>
      <c r="DZ11" s="28">
        <f>DY11/$DY$1*100</f>
        <v>0.93490838161971301</v>
      </c>
      <c r="EA11" s="29" t="b" cm="1">
        <f t="array" ref="EA11">IF(UPPER($J11)="CONTRACT",SUMPRODUCT(--(LEN(SUBSTITUTE(TRIM($N11:$Y11),"　",""))&gt;0))&gt;0,IF(UPPER($J11)="AT COST",SUMPRODUCT(--(LEN(SUBSTITUTE(TRIM($Z11:$AI11),"　",""))&gt;0))&gt;0,IF(UPPER($J11)="PORT HANDLING",SUMPRODUCT(--(LEN(SUBSTITUTE(TRIM($AJ11:$CW11),"　",""))&gt;0))&gt;0,IF(UPPER($J11)="OTHERS",SUMPRODUCT(--(LEN(SUBSTITUTE(TRIM($CV11:$CW11),"　",""))&gt;0))&gt;0,IF(UPPER($J11)="CONTRACT_MANPOWER",SUMPRODUCT(--(LEN(SUBSTITUTE(TRIM($CF11:$CM11),"　",""))&gt;0))&gt;0,IF(UPPER($J11)="CONTRACT_EQUPIMENT",SUMPRODUCT(--(LEN(SUBSTITUTE(TRIM($CN11:$CU11),"　",""))&gt;0))&gt;0,TRUE))))))</f>
        <v>1</v>
      </c>
      <c r="EE11" s="31"/>
      <c r="EF11" s="31"/>
      <c r="EG11" s="31"/>
      <c r="EH11" s="31"/>
      <c r="EI11" s="31"/>
    </row>
    <row r="12" spans="1:139" s="30" customFormat="1" ht="15" customHeight="1" x14ac:dyDescent="0.3">
      <c r="A12" s="9">
        <v>1314</v>
      </c>
      <c r="B12" s="10">
        <v>15</v>
      </c>
      <c r="C12" s="11">
        <v>11</v>
      </c>
      <c r="D12" s="12" t="s">
        <v>131</v>
      </c>
      <c r="E12" s="12"/>
      <c r="F12" s="12" t="s">
        <v>165</v>
      </c>
      <c r="G12" s="13" t="s">
        <v>158</v>
      </c>
      <c r="H12" s="14">
        <v>46087</v>
      </c>
      <c r="I12" s="14" t="str">
        <f>TEXT(H12, "MMM-yy")</f>
        <v>Mar-26</v>
      </c>
      <c r="J12" s="13" t="s">
        <v>134</v>
      </c>
      <c r="K12" s="13" t="s">
        <v>134</v>
      </c>
      <c r="L12" s="13" t="s">
        <v>159</v>
      </c>
      <c r="M12" s="13" t="s">
        <v>160</v>
      </c>
      <c r="N12" s="15"/>
      <c r="O12" s="16"/>
      <c r="P12" s="16"/>
      <c r="Q12" s="16"/>
      <c r="R12" s="16"/>
      <c r="S12" s="16"/>
      <c r="T12" s="16"/>
      <c r="U12" s="16"/>
      <c r="V12" s="16"/>
      <c r="W12" s="16"/>
      <c r="X12" s="16">
        <v>6</v>
      </c>
      <c r="Y12" s="16">
        <v>1200.03</v>
      </c>
      <c r="Z12" s="17"/>
      <c r="AA12" s="18"/>
      <c r="AB12" s="18"/>
      <c r="AC12" s="18"/>
      <c r="AD12" s="18"/>
      <c r="AE12" s="18"/>
      <c r="AF12" s="18"/>
      <c r="AG12" s="18"/>
      <c r="AH12" s="18"/>
      <c r="AI12" s="18"/>
      <c r="AJ12" s="19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20"/>
      <c r="BH12" s="20"/>
      <c r="BI12" s="16"/>
      <c r="BJ12" s="16"/>
      <c r="BK12" s="16"/>
      <c r="BL12" s="16"/>
      <c r="BM12" s="16"/>
      <c r="BN12" s="21"/>
      <c r="BO12" s="16"/>
      <c r="BP12" s="16"/>
      <c r="BQ12" s="16"/>
      <c r="BR12" s="16"/>
      <c r="BS12" s="16"/>
      <c r="BT12" s="16"/>
      <c r="BU12" s="20"/>
      <c r="BV12" s="20"/>
      <c r="BW12" s="20"/>
      <c r="BX12" s="16"/>
      <c r="BY12" s="16"/>
      <c r="BZ12" s="16"/>
      <c r="CA12" s="16"/>
      <c r="CB12" s="16"/>
      <c r="CC12" s="16"/>
      <c r="CD12" s="16"/>
      <c r="CE12" s="16"/>
      <c r="CF12" s="19"/>
      <c r="CG12" s="16"/>
      <c r="CH12" s="16"/>
      <c r="CI12" s="16"/>
      <c r="CJ12" s="16"/>
      <c r="CK12" s="16"/>
      <c r="CL12" s="16"/>
      <c r="CM12" s="16"/>
      <c r="CN12" s="22"/>
      <c r="CO12" s="18"/>
      <c r="CP12" s="18"/>
      <c r="CQ12" s="18"/>
      <c r="CR12" s="18"/>
      <c r="CS12" s="18"/>
      <c r="CT12" s="18"/>
      <c r="CU12" s="18"/>
      <c r="CV12" s="16"/>
      <c r="CW12" s="16"/>
      <c r="CX12" s="22">
        <v>1200.03</v>
      </c>
      <c r="CY12" s="19">
        <v>326.76</v>
      </c>
      <c r="CZ12" s="16">
        <v>16.34</v>
      </c>
      <c r="DA12" s="16">
        <v>343.1</v>
      </c>
      <c r="DB12" s="23">
        <v>6</v>
      </c>
      <c r="DC12" s="26">
        <v>200.005</v>
      </c>
      <c r="DD12" s="18"/>
      <c r="DE12" s="18"/>
      <c r="DF12" s="18"/>
      <c r="DG12" s="18"/>
      <c r="DH12" s="18"/>
      <c r="DI12" s="18"/>
      <c r="DJ12" s="25">
        <v>1200.03</v>
      </c>
      <c r="DK12" s="25">
        <f t="array" ref="DK12">SUMPRODUCT(--(MOD(COLUMN(N12:CW12)-COLUMN(O12),2)=0), N12:CW12)</f>
        <v>1200.03</v>
      </c>
      <c r="DL12" s="20">
        <f t="shared" si="0"/>
        <v>1200.03</v>
      </c>
      <c r="DM12" s="23">
        <f t="shared" si="1"/>
        <v>0</v>
      </c>
      <c r="DN12" s="26">
        <f t="shared" si="2"/>
        <v>0</v>
      </c>
      <c r="DO12" s="26">
        <f t="shared" si="3"/>
        <v>0</v>
      </c>
      <c r="DP12" s="26">
        <f t="shared" si="4"/>
        <v>1200.03</v>
      </c>
      <c r="DQ12" s="26">
        <f t="shared" si="5"/>
        <v>0</v>
      </c>
      <c r="DR12" s="26">
        <f t="shared" si="6"/>
        <v>0</v>
      </c>
      <c r="DS12" s="26">
        <f t="shared" si="7"/>
        <v>0</v>
      </c>
      <c r="DT12" s="26">
        <f t="shared" si="8"/>
        <v>1200.03</v>
      </c>
      <c r="DU12" s="26">
        <f t="shared" si="9"/>
        <v>0</v>
      </c>
      <c r="DV12" s="27">
        <v>326.76</v>
      </c>
      <c r="DW12" s="16">
        <v>16.34</v>
      </c>
      <c r="DX12" s="16">
        <v>343.1</v>
      </c>
      <c r="DY12" s="19">
        <f>SUM($DV$2:DV12)</f>
        <v>17303.78</v>
      </c>
      <c r="DZ12" s="28">
        <f>DY12/$DY$1*100</f>
        <v>0.95290274475164394</v>
      </c>
      <c r="EA12" s="29" t="b" cm="1">
        <f t="array" ref="EA12">IF(UPPER($J12)="CONTRACT",SUMPRODUCT(--(LEN(SUBSTITUTE(TRIM($N12:$Y12),"　",""))&gt;0))&gt;0,IF(UPPER($J12)="AT COST",SUMPRODUCT(--(LEN(SUBSTITUTE(TRIM($Z12:$AI12),"　",""))&gt;0))&gt;0,IF(UPPER($J12)="PORT HANDLING",SUMPRODUCT(--(LEN(SUBSTITUTE(TRIM($AJ12:$CW12),"　",""))&gt;0))&gt;0,IF(UPPER($J12)="OTHERS",SUMPRODUCT(--(LEN(SUBSTITUTE(TRIM($CV12:$CW12),"　",""))&gt;0))&gt;0,IF(UPPER($J12)="CONTRACT_MANPOWER",SUMPRODUCT(--(LEN(SUBSTITUTE(TRIM($CF12:$CM12),"　",""))&gt;0))&gt;0,IF(UPPER($J12)="CONTRACT_EQUPIMENT",SUMPRODUCT(--(LEN(SUBSTITUTE(TRIM($CN12:$CU12),"　",""))&gt;0))&gt;0,TRUE))))))</f>
        <v>1</v>
      </c>
      <c r="EE12" s="31"/>
      <c r="EF12" s="31"/>
      <c r="EG12" s="31"/>
      <c r="EH12" s="31"/>
      <c r="EI12" s="31"/>
    </row>
    <row r="13" spans="1:139" s="30" customFormat="1" ht="15" customHeight="1" x14ac:dyDescent="0.3">
      <c r="A13" s="9">
        <v>1315</v>
      </c>
      <c r="B13" s="10">
        <v>15</v>
      </c>
      <c r="C13" s="11">
        <v>12</v>
      </c>
      <c r="D13" s="12" t="s">
        <v>131</v>
      </c>
      <c r="E13" s="12"/>
      <c r="F13" s="12" t="s">
        <v>166</v>
      </c>
      <c r="G13" s="13" t="s">
        <v>133</v>
      </c>
      <c r="H13" s="14">
        <v>46087</v>
      </c>
      <c r="I13" s="14" t="str">
        <f>TEXT(H13, "MMM-yy")</f>
        <v>Mar-26</v>
      </c>
      <c r="J13" s="13" t="s">
        <v>134</v>
      </c>
      <c r="K13" s="13" t="s">
        <v>134</v>
      </c>
      <c r="L13" s="13" t="s">
        <v>167</v>
      </c>
      <c r="M13" s="13" t="s">
        <v>168</v>
      </c>
      <c r="N13" s="15"/>
      <c r="O13" s="16"/>
      <c r="P13" s="16"/>
      <c r="Q13" s="16"/>
      <c r="R13" s="16"/>
      <c r="S13" s="16"/>
      <c r="T13" s="16">
        <v>2</v>
      </c>
      <c r="U13" s="16">
        <v>299.99</v>
      </c>
      <c r="V13" s="16"/>
      <c r="W13" s="16"/>
      <c r="X13" s="16"/>
      <c r="Y13" s="16"/>
      <c r="Z13" s="17"/>
      <c r="AA13" s="18"/>
      <c r="AB13" s="18"/>
      <c r="AC13" s="18"/>
      <c r="AD13" s="18"/>
      <c r="AE13" s="18"/>
      <c r="AF13" s="18"/>
      <c r="AG13" s="18"/>
      <c r="AH13" s="18"/>
      <c r="AI13" s="18"/>
      <c r="AJ13" s="19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20"/>
      <c r="BH13" s="20"/>
      <c r="BI13" s="16"/>
      <c r="BJ13" s="16"/>
      <c r="BK13" s="16"/>
      <c r="BL13" s="16"/>
      <c r="BM13" s="16"/>
      <c r="BN13" s="21"/>
      <c r="BO13" s="16"/>
      <c r="BP13" s="16"/>
      <c r="BQ13" s="16"/>
      <c r="BR13" s="16"/>
      <c r="BS13" s="16"/>
      <c r="BT13" s="16"/>
      <c r="BU13" s="20"/>
      <c r="BV13" s="20"/>
      <c r="BW13" s="20"/>
      <c r="BX13" s="16"/>
      <c r="BY13" s="16"/>
      <c r="BZ13" s="16"/>
      <c r="CA13" s="16"/>
      <c r="CB13" s="16"/>
      <c r="CC13" s="16"/>
      <c r="CD13" s="16"/>
      <c r="CE13" s="16"/>
      <c r="CF13" s="19"/>
      <c r="CG13" s="16"/>
      <c r="CH13" s="16"/>
      <c r="CI13" s="16"/>
      <c r="CJ13" s="16"/>
      <c r="CK13" s="16"/>
      <c r="CL13" s="16"/>
      <c r="CM13" s="16"/>
      <c r="CN13" s="22"/>
      <c r="CO13" s="18"/>
      <c r="CP13" s="18"/>
      <c r="CQ13" s="18"/>
      <c r="CR13" s="18"/>
      <c r="CS13" s="18"/>
      <c r="CT13" s="18"/>
      <c r="CU13" s="18"/>
      <c r="CV13" s="16"/>
      <c r="CW13" s="16"/>
      <c r="CX13" s="22">
        <v>299.99</v>
      </c>
      <c r="CY13" s="19">
        <v>81.680000000000007</v>
      </c>
      <c r="CZ13" s="16">
        <v>4.08</v>
      </c>
      <c r="DA13" s="16">
        <v>85.76</v>
      </c>
      <c r="DB13" s="23">
        <v>2</v>
      </c>
      <c r="DC13" s="24">
        <f>'OFCO INVOICE ALL (4)'!$CX13/2</f>
        <v>149.995</v>
      </c>
      <c r="DD13" s="18"/>
      <c r="DE13" s="18"/>
      <c r="DF13" s="18"/>
      <c r="DG13" s="18"/>
      <c r="DH13" s="18"/>
      <c r="DI13" s="18"/>
      <c r="DJ13" s="25">
        <v>299.97000000000003</v>
      </c>
      <c r="DK13" s="25">
        <f t="array" ref="DK13">SUMPRODUCT(--(MOD(COLUMN(N13:CW13)-COLUMN(O13),2)=0), N13:CW13)</f>
        <v>299.99</v>
      </c>
      <c r="DL13" s="20">
        <f t="shared" si="0"/>
        <v>299.99</v>
      </c>
      <c r="DM13" s="23">
        <f t="shared" si="1"/>
        <v>-1.999999999998181E-2</v>
      </c>
      <c r="DN13" s="26">
        <f t="shared" si="2"/>
        <v>-1.999999999998181E-2</v>
      </c>
      <c r="DO13" s="26">
        <f t="shared" si="3"/>
        <v>0</v>
      </c>
      <c r="DP13" s="26">
        <f t="shared" si="4"/>
        <v>299.99</v>
      </c>
      <c r="DQ13" s="26">
        <f t="shared" si="5"/>
        <v>0</v>
      </c>
      <c r="DR13" s="26">
        <f t="shared" si="6"/>
        <v>0</v>
      </c>
      <c r="DS13" s="26">
        <f t="shared" si="7"/>
        <v>0</v>
      </c>
      <c r="DT13" s="26">
        <f t="shared" si="8"/>
        <v>299.99</v>
      </c>
      <c r="DU13" s="26">
        <f t="shared" si="9"/>
        <v>-1.999999999998181E-2</v>
      </c>
      <c r="DV13" s="27">
        <v>81.680000000000007</v>
      </c>
      <c r="DW13" s="16">
        <v>4.08</v>
      </c>
      <c r="DX13" s="16">
        <v>85.76</v>
      </c>
      <c r="DY13" s="19">
        <f>SUM($DV$2:DV13)</f>
        <v>17385.46</v>
      </c>
      <c r="DZ13" s="28">
        <f>DY13/$DY$1*100</f>
        <v>0.95740078484411595</v>
      </c>
      <c r="EA13" s="29" t="b" cm="1">
        <f t="array" ref="EA13">IF(UPPER($J13)="CONTRACT",SUMPRODUCT(--(LEN(SUBSTITUTE(TRIM($N13:$Y13),"　",""))&gt;0))&gt;0,IF(UPPER($J13)="AT COST",SUMPRODUCT(--(LEN(SUBSTITUTE(TRIM($Z13:$AI13),"　",""))&gt;0))&gt;0,IF(UPPER($J13)="PORT HANDLING",SUMPRODUCT(--(LEN(SUBSTITUTE(TRIM($AJ13:$CW13),"　",""))&gt;0))&gt;0,IF(UPPER($J13)="OTHERS",SUMPRODUCT(--(LEN(SUBSTITUTE(TRIM($CV13:$CW13),"　",""))&gt;0))&gt;0,IF(UPPER($J13)="CONTRACT_MANPOWER",SUMPRODUCT(--(LEN(SUBSTITUTE(TRIM($CF13:$CM13),"　",""))&gt;0))&gt;0,IF(UPPER($J13)="CONTRACT_EQUPIMENT",SUMPRODUCT(--(LEN(SUBSTITUTE(TRIM($CN13:$CU13),"　",""))&gt;0))&gt;0,TRUE))))))</f>
        <v>1</v>
      </c>
      <c r="EE13" s="31"/>
      <c r="EF13" s="31"/>
      <c r="EG13" s="31"/>
      <c r="EH13" s="31"/>
      <c r="EI13" s="31"/>
    </row>
    <row r="14" spans="1:139" s="30" customFormat="1" ht="15" customHeight="1" x14ac:dyDescent="0.3">
      <c r="A14" s="9">
        <v>1316</v>
      </c>
      <c r="B14" s="10"/>
      <c r="C14" s="11" t="s">
        <v>169</v>
      </c>
      <c r="D14" s="12" t="s">
        <v>131</v>
      </c>
      <c r="E14" s="12"/>
      <c r="F14" s="12" t="s">
        <v>170</v>
      </c>
      <c r="G14" s="13" t="s">
        <v>171</v>
      </c>
      <c r="H14" s="14" t="s">
        <v>172</v>
      </c>
      <c r="I14" s="14" t="s">
        <v>173</v>
      </c>
      <c r="J14" s="13" t="s">
        <v>134</v>
      </c>
      <c r="K14" s="13" t="s">
        <v>134</v>
      </c>
      <c r="L14" s="13" t="s">
        <v>135</v>
      </c>
      <c r="M14" s="13" t="s">
        <v>136</v>
      </c>
      <c r="N14" s="15"/>
      <c r="O14" s="16"/>
      <c r="P14" s="16">
        <v>1</v>
      </c>
      <c r="Q14" s="16">
        <v>1800</v>
      </c>
      <c r="R14" s="16"/>
      <c r="S14" s="16"/>
      <c r="T14" s="16"/>
      <c r="U14" s="16"/>
      <c r="V14" s="16"/>
      <c r="W14" s="16"/>
      <c r="X14" s="16"/>
      <c r="Y14" s="16"/>
      <c r="Z14" s="17"/>
      <c r="AA14" s="18"/>
      <c r="AB14" s="18"/>
      <c r="AC14" s="18"/>
      <c r="AD14" s="18"/>
      <c r="AE14" s="18"/>
      <c r="AF14" s="18"/>
      <c r="AG14" s="18"/>
      <c r="AH14" s="18"/>
      <c r="AI14" s="18"/>
      <c r="AJ14" s="19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20"/>
      <c r="BH14" s="20"/>
      <c r="BI14" s="16"/>
      <c r="BJ14" s="16"/>
      <c r="BK14" s="16"/>
      <c r="BL14" s="16"/>
      <c r="BM14" s="16"/>
      <c r="BN14" s="21"/>
      <c r="BO14" s="16"/>
      <c r="BP14" s="16"/>
      <c r="BQ14" s="16"/>
      <c r="BR14" s="16"/>
      <c r="BS14" s="16"/>
      <c r="BT14" s="16"/>
      <c r="BU14" s="20"/>
      <c r="BV14" s="20"/>
      <c r="BW14" s="20"/>
      <c r="BX14" s="16"/>
      <c r="BY14" s="16"/>
      <c r="BZ14" s="16"/>
      <c r="CA14" s="16"/>
      <c r="CB14" s="16"/>
      <c r="CC14" s="16"/>
      <c r="CD14" s="16"/>
      <c r="CE14" s="16"/>
      <c r="CF14" s="19"/>
      <c r="CG14" s="16"/>
      <c r="CH14" s="16"/>
      <c r="CI14" s="16"/>
      <c r="CJ14" s="16"/>
      <c r="CK14" s="16"/>
      <c r="CL14" s="16"/>
      <c r="CM14" s="16"/>
      <c r="CN14" s="22"/>
      <c r="CO14" s="18"/>
      <c r="CP14" s="18"/>
      <c r="CQ14" s="18"/>
      <c r="CR14" s="18"/>
      <c r="CS14" s="18"/>
      <c r="CT14" s="18"/>
      <c r="CU14" s="18"/>
      <c r="CV14" s="16"/>
      <c r="CW14" s="16"/>
      <c r="CX14" s="22">
        <f>ROUND(SUM(O14,Q14,S14,U14,W14,Y14,AA14,AC14,AE14,AG14,AI14,AK14,AM14,AO14,AQ14,AS14,AU14,AW14,AY14,BA14,BC14,BE14,BG14,BI14,BK14,BM14,BO14,BQ14,BS14,BU14,BW14,BY14,CA14,CC14,CE14,CG14,CI14,CK14,CM14,CO14,CQ14,CS14,CU14,CW14),2)</f>
        <v>1800</v>
      </c>
      <c r="CY14" s="19">
        <v>490.13</v>
      </c>
      <c r="CZ14" s="16">
        <f>ROUND(CY14*0.05,2)</f>
        <v>24.51</v>
      </c>
      <c r="DA14" s="16">
        <f>ROUND(CY14+CZ14,2)</f>
        <v>514.64</v>
      </c>
      <c r="DB14" s="23">
        <v>1</v>
      </c>
      <c r="DC14" s="24">
        <v>1800</v>
      </c>
      <c r="DD14" s="18"/>
      <c r="DE14" s="18"/>
      <c r="DF14" s="18"/>
      <c r="DG14" s="18"/>
      <c r="DH14" s="18"/>
      <c r="DI14" s="18"/>
      <c r="DJ14" s="25">
        <f>CX14</f>
        <v>1800</v>
      </c>
      <c r="DK14" s="25">
        <f t="array" ref="DK14">SUMPRODUCT(--(MOD(COLUMN(N14:CW14)-COLUMN(O14),2)=0), N14:CW14)</f>
        <v>1800</v>
      </c>
      <c r="DL14" s="20">
        <f t="shared" si="0"/>
        <v>1800</v>
      </c>
      <c r="DM14" s="23">
        <f t="shared" si="1"/>
        <v>0</v>
      </c>
      <c r="DN14" s="26">
        <f t="shared" si="2"/>
        <v>0</v>
      </c>
      <c r="DO14" s="26">
        <f t="shared" si="3"/>
        <v>0</v>
      </c>
      <c r="DP14" s="26">
        <f t="shared" si="4"/>
        <v>1800</v>
      </c>
      <c r="DQ14" s="26">
        <f t="shared" si="5"/>
        <v>0</v>
      </c>
      <c r="DR14" s="26">
        <f t="shared" si="6"/>
        <v>0</v>
      </c>
      <c r="DS14" s="26">
        <f t="shared" si="7"/>
        <v>0</v>
      </c>
      <c r="DT14" s="26">
        <f t="shared" si="8"/>
        <v>1800</v>
      </c>
      <c r="DU14" s="26">
        <f t="shared" si="9"/>
        <v>0</v>
      </c>
      <c r="DV14" s="27">
        <f>CY14</f>
        <v>490.13</v>
      </c>
      <c r="DW14" s="16">
        <f>CZ14</f>
        <v>24.51</v>
      </c>
      <c r="DX14" s="16">
        <f>DA14</f>
        <v>514.64</v>
      </c>
      <c r="DY14" s="19"/>
      <c r="DZ14" s="28"/>
      <c r="EA14" s="29"/>
      <c r="EE14" s="31"/>
      <c r="EF14" s="31"/>
      <c r="EG14" s="31"/>
      <c r="EH14" s="31"/>
      <c r="EI14" s="31"/>
    </row>
    <row r="15" spans="1:139" s="30" customFormat="1" ht="15" customHeight="1" x14ac:dyDescent="0.3">
      <c r="A15" s="9">
        <v>1317</v>
      </c>
      <c r="B15" s="10"/>
      <c r="C15" s="11" t="s">
        <v>174</v>
      </c>
      <c r="D15" s="12" t="s">
        <v>131</v>
      </c>
      <c r="E15" s="12"/>
      <c r="F15" s="12" t="s">
        <v>175</v>
      </c>
      <c r="G15" s="13" t="s">
        <v>171</v>
      </c>
      <c r="H15" s="14" t="s">
        <v>172</v>
      </c>
      <c r="I15" s="14" t="s">
        <v>173</v>
      </c>
      <c r="J15" s="13" t="s">
        <v>138</v>
      </c>
      <c r="K15" s="13" t="s">
        <v>139</v>
      </c>
      <c r="L15" s="13" t="s">
        <v>140</v>
      </c>
      <c r="M15" s="13" t="s">
        <v>140</v>
      </c>
      <c r="N15" s="15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7">
        <v>2</v>
      </c>
      <c r="AA15" s="18">
        <v>1614.72</v>
      </c>
      <c r="AB15" s="18"/>
      <c r="AC15" s="18"/>
      <c r="AD15" s="18"/>
      <c r="AE15" s="18"/>
      <c r="AF15" s="18"/>
      <c r="AG15" s="18"/>
      <c r="AH15" s="18"/>
      <c r="AI15" s="18"/>
      <c r="AJ15" s="19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>
        <v>1</v>
      </c>
      <c r="AY15" s="16">
        <v>278.7</v>
      </c>
      <c r="AZ15" s="16"/>
      <c r="BA15" s="16"/>
      <c r="BB15" s="16"/>
      <c r="BC15" s="16"/>
      <c r="BD15" s="16"/>
      <c r="BE15" s="16"/>
      <c r="BF15" s="16"/>
      <c r="BG15" s="20"/>
      <c r="BH15" s="20"/>
      <c r="BI15" s="16"/>
      <c r="BJ15" s="16"/>
      <c r="BK15" s="16"/>
      <c r="BL15" s="16"/>
      <c r="BM15" s="16"/>
      <c r="BN15" s="21">
        <v>2</v>
      </c>
      <c r="BO15" s="16">
        <v>640</v>
      </c>
      <c r="BP15" s="16">
        <v>2</v>
      </c>
      <c r="BQ15" s="16">
        <v>3000</v>
      </c>
      <c r="BR15" s="16">
        <v>2</v>
      </c>
      <c r="BS15" s="16">
        <v>4000</v>
      </c>
      <c r="BT15" s="16"/>
      <c r="BU15" s="20"/>
      <c r="BV15" s="20"/>
      <c r="BW15" s="20"/>
      <c r="BX15" s="16"/>
      <c r="BY15" s="16"/>
      <c r="BZ15" s="16"/>
      <c r="CA15" s="16"/>
      <c r="CB15" s="16"/>
      <c r="CC15" s="16"/>
      <c r="CD15" s="16"/>
      <c r="CE15" s="16"/>
      <c r="CF15" s="19"/>
      <c r="CG15" s="16"/>
      <c r="CH15" s="16"/>
      <c r="CI15" s="16"/>
      <c r="CJ15" s="16"/>
      <c r="CK15" s="16"/>
      <c r="CL15" s="16"/>
      <c r="CM15" s="16"/>
      <c r="CN15" s="22"/>
      <c r="CO15" s="18"/>
      <c r="CP15" s="18"/>
      <c r="CQ15" s="18"/>
      <c r="CR15" s="18"/>
      <c r="CS15" s="18"/>
      <c r="CT15" s="18"/>
      <c r="CU15" s="18"/>
      <c r="CV15" s="16">
        <v>2</v>
      </c>
      <c r="CW15" s="16">
        <v>1750</v>
      </c>
      <c r="CX15" s="22">
        <f>ROUND(SUM(O15,Q15,S15,U15,W15,Y15,AA15,AC15,AE15,AG15,AI15,AK15,AM15,AO15,AQ15,AS15,AU15,AW15,AY15,BA15,BC15,BE15,BG15,BI15,BK15,BM15,BO15,BQ15,BS15,BU15,BW15,BY15,CA15,CC15,CE15,CG15,CI15,CK15,CM15,CO15,CQ15,CS15,CU15,CW15),2)</f>
        <v>11283.42</v>
      </c>
      <c r="CY15" s="19">
        <v>3072.41</v>
      </c>
      <c r="CZ15" s="16">
        <f>ROUND(CY15*0.05,2)</f>
        <v>153.62</v>
      </c>
      <c r="DA15" s="16">
        <f>ROUND(CY15+CZ15,2)</f>
        <v>3226.03</v>
      </c>
      <c r="DB15" s="23">
        <v>1</v>
      </c>
      <c r="DC15" s="26">
        <v>1500</v>
      </c>
      <c r="DD15" s="18">
        <v>1</v>
      </c>
      <c r="DE15" s="18">
        <v>1160</v>
      </c>
      <c r="DF15" s="18">
        <v>1</v>
      </c>
      <c r="DG15" s="18">
        <v>700</v>
      </c>
      <c r="DH15" s="18">
        <v>1</v>
      </c>
      <c r="DI15" s="18">
        <v>7923.42</v>
      </c>
      <c r="DJ15" s="25">
        <f>CX15</f>
        <v>11283.42</v>
      </c>
      <c r="DK15" s="25">
        <f t="array" ref="DK15">SUMPRODUCT(--(MOD(COLUMN(N15:CW15)-COLUMN(O15),2)=0), N15:CW15)</f>
        <v>11283.42</v>
      </c>
      <c r="DL15" s="20">
        <f t="shared" si="0"/>
        <v>11283.42</v>
      </c>
      <c r="DM15" s="23">
        <f t="shared" si="1"/>
        <v>0</v>
      </c>
      <c r="DN15" s="26">
        <f t="shared" si="2"/>
        <v>0</v>
      </c>
      <c r="DO15" s="26">
        <f t="shared" si="3"/>
        <v>0</v>
      </c>
      <c r="DP15" s="26">
        <f t="shared" si="4"/>
        <v>1500</v>
      </c>
      <c r="DQ15" s="26">
        <f t="shared" si="5"/>
        <v>1160</v>
      </c>
      <c r="DR15" s="26">
        <f t="shared" si="6"/>
        <v>700</v>
      </c>
      <c r="DS15" s="26">
        <f t="shared" si="7"/>
        <v>7923.42</v>
      </c>
      <c r="DT15" s="26">
        <f t="shared" si="8"/>
        <v>11283.42</v>
      </c>
      <c r="DU15" s="26">
        <f t="shared" si="9"/>
        <v>0</v>
      </c>
      <c r="DV15" s="27">
        <f>CY15</f>
        <v>3072.41</v>
      </c>
      <c r="DW15" s="16">
        <f>CZ15</f>
        <v>153.62</v>
      </c>
      <c r="DX15" s="16">
        <f>DA15</f>
        <v>3226.03</v>
      </c>
      <c r="DY15" s="19"/>
      <c r="DZ15" s="28"/>
      <c r="EA15" s="29"/>
      <c r="EE15" s="31"/>
      <c r="EF15" s="31"/>
      <c r="EG15" s="31"/>
      <c r="EH15" s="31"/>
      <c r="EI15" s="31"/>
    </row>
    <row r="16" spans="1:139" s="30" customFormat="1" ht="15" customHeight="1" x14ac:dyDescent="0.3">
      <c r="A16" s="9">
        <v>1318</v>
      </c>
      <c r="B16" s="10"/>
      <c r="C16" s="11" t="s">
        <v>176</v>
      </c>
      <c r="D16" s="12" t="s">
        <v>131</v>
      </c>
      <c r="E16" s="12"/>
      <c r="F16" s="12" t="s">
        <v>177</v>
      </c>
      <c r="G16" s="13" t="s">
        <v>171</v>
      </c>
      <c r="H16" s="14" t="s">
        <v>172</v>
      </c>
      <c r="I16" s="14" t="s">
        <v>173</v>
      </c>
      <c r="J16" s="13" t="s">
        <v>138</v>
      </c>
      <c r="K16" s="13" t="s">
        <v>139</v>
      </c>
      <c r="L16" s="13" t="s">
        <v>142</v>
      </c>
      <c r="M16" s="13" t="s">
        <v>143</v>
      </c>
      <c r="N16" s="15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  <c r="AA16" s="18"/>
      <c r="AB16" s="18"/>
      <c r="AC16" s="18"/>
      <c r="AD16" s="18"/>
      <c r="AE16" s="18"/>
      <c r="AF16" s="18"/>
      <c r="AG16" s="18"/>
      <c r="AH16" s="18"/>
      <c r="AI16" s="18"/>
      <c r="AJ16" s="19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20"/>
      <c r="BH16" s="20"/>
      <c r="BI16" s="16"/>
      <c r="BJ16" s="16">
        <v>1</v>
      </c>
      <c r="BK16" s="16">
        <v>339.35</v>
      </c>
      <c r="BL16" s="16">
        <v>1</v>
      </c>
      <c r="BM16" s="16">
        <v>700</v>
      </c>
      <c r="BN16" s="21"/>
      <c r="BO16" s="16"/>
      <c r="BP16" s="16"/>
      <c r="BQ16" s="16"/>
      <c r="BR16" s="16"/>
      <c r="BS16" s="16"/>
      <c r="BT16" s="16"/>
      <c r="BU16" s="20"/>
      <c r="BV16" s="20"/>
      <c r="BW16" s="20"/>
      <c r="BX16" s="16"/>
      <c r="BY16" s="16"/>
      <c r="BZ16" s="16"/>
      <c r="CA16" s="16"/>
      <c r="CB16" s="16"/>
      <c r="CC16" s="16"/>
      <c r="CD16" s="16"/>
      <c r="CE16" s="16"/>
      <c r="CF16" s="19"/>
      <c r="CG16" s="16"/>
      <c r="CH16" s="16"/>
      <c r="CI16" s="16"/>
      <c r="CJ16" s="16"/>
      <c r="CK16" s="16"/>
      <c r="CL16" s="16"/>
      <c r="CM16" s="16"/>
      <c r="CN16" s="22"/>
      <c r="CO16" s="18"/>
      <c r="CP16" s="18"/>
      <c r="CQ16" s="18"/>
      <c r="CR16" s="18"/>
      <c r="CS16" s="18"/>
      <c r="CT16" s="18"/>
      <c r="CU16" s="18"/>
      <c r="CV16" s="16"/>
      <c r="CW16" s="16"/>
      <c r="CX16" s="22">
        <f>ROUND(SUM(O16,Q16,S16,U16,W16,Y16,AA16,AC16,AE16,AG16,AI16,AK16,AM16,AO16,AQ16,AS16,AU16,AW16,AY16,BA16,BC16,BE16,BG16,BI16,BK16,BM16,BO16,BQ16,BS16,BU16,BW16,BY16,CA16,CC16,CE16,CG16,CI16,CK16,CM16,CO16,CQ16,CS16,CU16,CW16),2)</f>
        <v>1039.3499999999999</v>
      </c>
      <c r="CY16" s="19">
        <v>283.01</v>
      </c>
      <c r="CZ16" s="16">
        <f>ROUND(CY16*0.05,2)</f>
        <v>14.15</v>
      </c>
      <c r="DA16" s="16">
        <f>ROUND(CY16+CZ16,2)</f>
        <v>297.16000000000003</v>
      </c>
      <c r="DB16" s="23">
        <v>1</v>
      </c>
      <c r="DC16" s="26">
        <v>700</v>
      </c>
      <c r="DD16" s="18">
        <v>1</v>
      </c>
      <c r="DE16" s="18">
        <v>339.35</v>
      </c>
      <c r="DF16" s="18"/>
      <c r="DG16" s="18"/>
      <c r="DH16" s="18"/>
      <c r="DI16" s="18"/>
      <c r="DJ16" s="25">
        <f>CX16</f>
        <v>1039.3499999999999</v>
      </c>
      <c r="DK16" s="25">
        <f t="array" ref="DK16">SUMPRODUCT(--(MOD(COLUMN(N16:CW16)-COLUMN(O16),2)=0), N16:CW16)</f>
        <v>1039.3499999999999</v>
      </c>
      <c r="DL16" s="20">
        <f t="shared" si="0"/>
        <v>1039.3499999999999</v>
      </c>
      <c r="DM16" s="23">
        <f t="shared" si="1"/>
        <v>0</v>
      </c>
      <c r="DN16" s="26">
        <f t="shared" si="2"/>
        <v>0</v>
      </c>
      <c r="DO16" s="26">
        <f t="shared" si="3"/>
        <v>0</v>
      </c>
      <c r="DP16" s="26">
        <f t="shared" si="4"/>
        <v>700</v>
      </c>
      <c r="DQ16" s="26">
        <f t="shared" si="5"/>
        <v>339.35</v>
      </c>
      <c r="DR16" s="26">
        <f t="shared" si="6"/>
        <v>0</v>
      </c>
      <c r="DS16" s="26">
        <f t="shared" si="7"/>
        <v>0</v>
      </c>
      <c r="DT16" s="26">
        <f t="shared" si="8"/>
        <v>1039.3499999999999</v>
      </c>
      <c r="DU16" s="26">
        <f t="shared" si="9"/>
        <v>0</v>
      </c>
      <c r="DV16" s="27">
        <f>CY16</f>
        <v>283.01</v>
      </c>
      <c r="DW16" s="16">
        <f>CZ16</f>
        <v>14.15</v>
      </c>
      <c r="DX16" s="16">
        <f>DA16</f>
        <v>297.16000000000003</v>
      </c>
      <c r="DY16" s="19"/>
      <c r="DZ16" s="28"/>
      <c r="EA16" s="29"/>
      <c r="EE16" s="31"/>
      <c r="EF16" s="31"/>
      <c r="EG16" s="31"/>
      <c r="EH16" s="31"/>
      <c r="EI16" s="31"/>
    </row>
    <row r="17" spans="1:139" s="30" customFormat="1" ht="15" customHeight="1" x14ac:dyDescent="0.3">
      <c r="A17" s="9">
        <v>1319</v>
      </c>
      <c r="B17" s="10"/>
      <c r="C17" s="11" t="s">
        <v>178</v>
      </c>
      <c r="D17" s="12" t="s">
        <v>131</v>
      </c>
      <c r="E17" s="12"/>
      <c r="F17" s="12" t="s">
        <v>179</v>
      </c>
      <c r="G17" s="13" t="s">
        <v>171</v>
      </c>
      <c r="H17" s="14" t="s">
        <v>172</v>
      </c>
      <c r="I17" s="14" t="s">
        <v>173</v>
      </c>
      <c r="J17" s="13" t="s">
        <v>138</v>
      </c>
      <c r="K17" s="13" t="s">
        <v>139</v>
      </c>
      <c r="L17" s="13" t="s">
        <v>140</v>
      </c>
      <c r="M17" s="13" t="s">
        <v>140</v>
      </c>
      <c r="N17" s="15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7"/>
      <c r="AA17" s="18"/>
      <c r="AB17" s="18"/>
      <c r="AC17" s="18"/>
      <c r="AD17" s="18"/>
      <c r="AE17" s="18"/>
      <c r="AF17" s="18"/>
      <c r="AG17" s="18"/>
      <c r="AH17" s="18"/>
      <c r="AI17" s="18"/>
      <c r="AJ17" s="19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>
        <v>2</v>
      </c>
      <c r="AY17" s="16">
        <v>975.45</v>
      </c>
      <c r="AZ17" s="16"/>
      <c r="BA17" s="16"/>
      <c r="BB17" s="16"/>
      <c r="BC17" s="16"/>
      <c r="BD17" s="16"/>
      <c r="BE17" s="16"/>
      <c r="BF17" s="16"/>
      <c r="BG17" s="20"/>
      <c r="BH17" s="20"/>
      <c r="BI17" s="16"/>
      <c r="BJ17" s="16"/>
      <c r="BK17" s="16"/>
      <c r="BL17" s="16"/>
      <c r="BM17" s="16"/>
      <c r="BN17" s="21"/>
      <c r="BO17" s="16"/>
      <c r="BP17" s="16"/>
      <c r="BQ17" s="16"/>
      <c r="BR17" s="16"/>
      <c r="BS17" s="16"/>
      <c r="BT17" s="16"/>
      <c r="BU17" s="20"/>
      <c r="BV17" s="20"/>
      <c r="BW17" s="20"/>
      <c r="BX17" s="16"/>
      <c r="BY17" s="16"/>
      <c r="BZ17" s="16"/>
      <c r="CA17" s="16"/>
      <c r="CB17" s="16"/>
      <c r="CC17" s="16"/>
      <c r="CD17" s="16"/>
      <c r="CE17" s="16"/>
      <c r="CF17" s="19"/>
      <c r="CG17" s="16"/>
      <c r="CH17" s="16"/>
      <c r="CI17" s="16"/>
      <c r="CJ17" s="16"/>
      <c r="CK17" s="16"/>
      <c r="CL17" s="16"/>
      <c r="CM17" s="16"/>
      <c r="CN17" s="22"/>
      <c r="CO17" s="18"/>
      <c r="CP17" s="18"/>
      <c r="CQ17" s="18"/>
      <c r="CR17" s="18"/>
      <c r="CS17" s="18"/>
      <c r="CT17" s="18"/>
      <c r="CU17" s="18"/>
      <c r="CV17" s="16"/>
      <c r="CW17" s="16"/>
      <c r="CX17" s="22">
        <f>ROUND(SUM(O17,Q17,S17,U17,W17,Y17,AA17,AC17,AE17,AG17,AI17,AK17,AM17,AO17,AQ17,AS17,AU17,AW17,AY17,BA17,BC17,BE17,BG17,BI17,BK17,BM17,BO17,BQ17,BS17,BU17,BW17,BY17,CA17,CC17,CE17,CG17,CI17,CK17,CM17,CO17,CQ17,CS17,CU17,CW17),2)</f>
        <v>975.45</v>
      </c>
      <c r="CY17" s="19">
        <v>265.61</v>
      </c>
      <c r="CZ17" s="16">
        <f>ROUND(CY17*0.05,2)</f>
        <v>13.28</v>
      </c>
      <c r="DA17" s="16">
        <f>ROUND(CY17+CZ17,2)</f>
        <v>278.89</v>
      </c>
      <c r="DB17" s="23">
        <v>1</v>
      </c>
      <c r="DC17" s="26">
        <v>696.75</v>
      </c>
      <c r="DD17" s="18">
        <v>1</v>
      </c>
      <c r="DE17" s="18">
        <v>278.7</v>
      </c>
      <c r="DF17" s="18"/>
      <c r="DG17" s="18"/>
      <c r="DH17" s="18"/>
      <c r="DI17" s="18"/>
      <c r="DJ17" s="25">
        <f>CX17</f>
        <v>975.45</v>
      </c>
      <c r="DK17" s="25">
        <f t="array" ref="DK17">SUMPRODUCT(--(MOD(COLUMN(N17:CW17)-COLUMN(O17),2)=0), N17:CW17)</f>
        <v>975.45</v>
      </c>
      <c r="DL17" s="20">
        <f t="shared" si="0"/>
        <v>975.45</v>
      </c>
      <c r="DM17" s="23">
        <f t="shared" si="1"/>
        <v>0</v>
      </c>
      <c r="DN17" s="26">
        <f t="shared" si="2"/>
        <v>0</v>
      </c>
      <c r="DO17" s="26">
        <f t="shared" si="3"/>
        <v>0</v>
      </c>
      <c r="DP17" s="26">
        <f t="shared" si="4"/>
        <v>696.75</v>
      </c>
      <c r="DQ17" s="26">
        <f t="shared" si="5"/>
        <v>278.7</v>
      </c>
      <c r="DR17" s="26">
        <f t="shared" si="6"/>
        <v>0</v>
      </c>
      <c r="DS17" s="26">
        <f t="shared" si="7"/>
        <v>0</v>
      </c>
      <c r="DT17" s="26">
        <f t="shared" si="8"/>
        <v>975.45</v>
      </c>
      <c r="DU17" s="26">
        <f t="shared" si="9"/>
        <v>0</v>
      </c>
      <c r="DV17" s="27">
        <f>CY17</f>
        <v>265.61</v>
      </c>
      <c r="DW17" s="16">
        <f>CZ17</f>
        <v>13.28</v>
      </c>
      <c r="DX17" s="16">
        <f>DA17</f>
        <v>278.89</v>
      </c>
      <c r="DY17" s="19"/>
      <c r="DZ17" s="28"/>
      <c r="EA17" s="29"/>
      <c r="EE17" s="31"/>
      <c r="EF17" s="31"/>
      <c r="EG17" s="31"/>
      <c r="EH17" s="31"/>
      <c r="EI17" s="31"/>
    </row>
    <row r="18" spans="1:139" s="30" customFormat="1" ht="15" customHeight="1" x14ac:dyDescent="0.3">
      <c r="A18" s="9">
        <v>1320</v>
      </c>
      <c r="B18" s="10"/>
      <c r="C18" s="11" t="s">
        <v>180</v>
      </c>
      <c r="D18" s="12" t="s">
        <v>131</v>
      </c>
      <c r="E18" s="12"/>
      <c r="F18" s="12" t="s">
        <v>181</v>
      </c>
      <c r="G18" s="13" t="s">
        <v>171</v>
      </c>
      <c r="H18" s="14" t="s">
        <v>172</v>
      </c>
      <c r="I18" s="14" t="s">
        <v>173</v>
      </c>
      <c r="J18" s="13" t="s">
        <v>138</v>
      </c>
      <c r="K18" s="13" t="s">
        <v>138</v>
      </c>
      <c r="L18" s="13" t="s">
        <v>145</v>
      </c>
      <c r="M18" s="13" t="s">
        <v>146</v>
      </c>
      <c r="N18" s="15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18"/>
      <c r="AB18" s="18"/>
      <c r="AC18" s="18"/>
      <c r="AD18" s="18"/>
      <c r="AE18" s="18"/>
      <c r="AF18" s="18"/>
      <c r="AG18" s="18"/>
      <c r="AH18" s="18"/>
      <c r="AI18" s="18"/>
      <c r="AJ18" s="19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20"/>
      <c r="BH18" s="20"/>
      <c r="BI18" s="16"/>
      <c r="BJ18" s="16"/>
      <c r="BK18" s="16"/>
      <c r="BL18" s="16"/>
      <c r="BM18" s="16"/>
      <c r="BN18" s="21"/>
      <c r="BO18" s="16"/>
      <c r="BP18" s="16"/>
      <c r="BQ18" s="16"/>
      <c r="BR18" s="16"/>
      <c r="BS18" s="16"/>
      <c r="BT18" s="16"/>
      <c r="BU18" s="20"/>
      <c r="BV18" s="20"/>
      <c r="BW18" s="20"/>
      <c r="BX18" s="16"/>
      <c r="BY18" s="16"/>
      <c r="BZ18" s="16"/>
      <c r="CA18" s="16"/>
      <c r="CB18" s="16"/>
      <c r="CC18" s="16"/>
      <c r="CD18" s="16">
        <v>217.2</v>
      </c>
      <c r="CE18" s="16">
        <v>3475.2</v>
      </c>
      <c r="CF18" s="19"/>
      <c r="CG18" s="16"/>
      <c r="CH18" s="16"/>
      <c r="CI18" s="16"/>
      <c r="CJ18" s="16"/>
      <c r="CK18" s="16"/>
      <c r="CL18" s="16"/>
      <c r="CM18" s="16"/>
      <c r="CN18" s="22"/>
      <c r="CO18" s="18"/>
      <c r="CP18" s="18"/>
      <c r="CQ18" s="18"/>
      <c r="CR18" s="18"/>
      <c r="CS18" s="18"/>
      <c r="CT18" s="18"/>
      <c r="CU18" s="18"/>
      <c r="CV18" s="16"/>
      <c r="CW18" s="16"/>
      <c r="CX18" s="22">
        <f>ROUND(SUM(O18,Q18,S18,U18,W18,Y18,AA18,AC18,AE18,AG18,AI18,AK18,AM18,AO18,AQ18,AS18,AU18,AW18,AY18,BA18,BC18,BE18,BG18,BI18,BK18,BM18,BO18,BQ18,BS18,BU18,BW18,BY18,CA18,CC18,CE18,CG18,CI18,CK18,CM18,CO18,CQ18,CS18,CU18,CW18),2)</f>
        <v>3475.2</v>
      </c>
      <c r="CY18" s="19">
        <v>946.28</v>
      </c>
      <c r="CZ18" s="16">
        <f>ROUND(CY18*0.05,2)</f>
        <v>47.31</v>
      </c>
      <c r="DA18" s="16">
        <f>ROUND(CY18+CZ18,2)</f>
        <v>993.59</v>
      </c>
      <c r="DB18" s="23">
        <v>217.2</v>
      </c>
      <c r="DC18" s="26">
        <v>16</v>
      </c>
      <c r="DD18" s="26"/>
      <c r="DE18" s="18"/>
      <c r="DF18" s="18"/>
      <c r="DG18" s="18"/>
      <c r="DH18" s="18"/>
      <c r="DI18" s="18"/>
      <c r="DJ18" s="25">
        <f>CX18</f>
        <v>3475.2</v>
      </c>
      <c r="DK18" s="25">
        <f t="array" ref="DK18">SUMPRODUCT(--(MOD(COLUMN(N18:CW18)-COLUMN(O18),2)=0), N18:CW18)</f>
        <v>3475.2</v>
      </c>
      <c r="DL18" s="20">
        <f t="shared" si="0"/>
        <v>3475.2</v>
      </c>
      <c r="DM18" s="23">
        <f t="shared" si="1"/>
        <v>0</v>
      </c>
      <c r="DN18" s="26">
        <f t="shared" si="2"/>
        <v>0</v>
      </c>
      <c r="DO18" s="26">
        <f t="shared" si="3"/>
        <v>0</v>
      </c>
      <c r="DP18" s="26">
        <f t="shared" si="4"/>
        <v>3475.2</v>
      </c>
      <c r="DQ18" s="26">
        <f t="shared" si="5"/>
        <v>0</v>
      </c>
      <c r="DR18" s="26">
        <f t="shared" si="6"/>
        <v>0</v>
      </c>
      <c r="DS18" s="26">
        <f t="shared" si="7"/>
        <v>0</v>
      </c>
      <c r="DT18" s="26">
        <f t="shared" si="8"/>
        <v>3475.2</v>
      </c>
      <c r="DU18" s="26">
        <f t="shared" si="9"/>
        <v>0</v>
      </c>
      <c r="DV18" s="27">
        <f>CY18</f>
        <v>946.28</v>
      </c>
      <c r="DW18" s="16">
        <f>CZ18</f>
        <v>47.31</v>
      </c>
      <c r="DX18" s="16">
        <f>DA18</f>
        <v>993.59</v>
      </c>
      <c r="DY18" s="19"/>
      <c r="DZ18" s="28"/>
      <c r="EA18" s="29"/>
      <c r="EE18" s="31"/>
      <c r="EF18" s="31"/>
      <c r="EG18" s="31"/>
      <c r="EH18" s="31"/>
      <c r="EI18" s="31"/>
    </row>
    <row r="19" spans="1:139" s="30" customFormat="1" ht="15" customHeight="1" x14ac:dyDescent="0.3">
      <c r="A19" s="9">
        <v>1321</v>
      </c>
      <c r="B19" s="10"/>
      <c r="C19" s="11" t="s">
        <v>182</v>
      </c>
      <c r="D19" s="12" t="s">
        <v>131</v>
      </c>
      <c r="E19" s="12"/>
      <c r="F19" s="12" t="s">
        <v>183</v>
      </c>
      <c r="G19" s="13" t="s">
        <v>171</v>
      </c>
      <c r="H19" s="14" t="s">
        <v>172</v>
      </c>
      <c r="I19" s="14" t="s">
        <v>173</v>
      </c>
      <c r="J19" s="13" t="s">
        <v>138</v>
      </c>
      <c r="K19" s="13" t="s">
        <v>138</v>
      </c>
      <c r="L19" s="13" t="s">
        <v>184</v>
      </c>
      <c r="M19" s="13" t="s">
        <v>185</v>
      </c>
      <c r="N19" s="15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7"/>
      <c r="AA19" s="18"/>
      <c r="AB19" s="18">
        <v>13</v>
      </c>
      <c r="AC19" s="18">
        <v>5460</v>
      </c>
      <c r="AD19" s="18"/>
      <c r="AE19" s="18"/>
      <c r="AF19" s="18"/>
      <c r="AG19" s="18"/>
      <c r="AH19" s="18"/>
      <c r="AI19" s="18"/>
      <c r="AJ19" s="19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20"/>
      <c r="BH19" s="20"/>
      <c r="BI19" s="16"/>
      <c r="BJ19" s="16"/>
      <c r="BK19" s="16"/>
      <c r="BL19" s="16"/>
      <c r="BM19" s="16"/>
      <c r="BN19" s="21"/>
      <c r="BO19" s="16"/>
      <c r="BP19" s="16"/>
      <c r="BQ19" s="16"/>
      <c r="BR19" s="16"/>
      <c r="BS19" s="16"/>
      <c r="BT19" s="16">
        <v>33</v>
      </c>
      <c r="BU19" s="20">
        <v>5940</v>
      </c>
      <c r="BV19" s="20"/>
      <c r="BW19" s="20"/>
      <c r="BX19" s="16"/>
      <c r="BY19" s="16"/>
      <c r="BZ19" s="16"/>
      <c r="CA19" s="16"/>
      <c r="CB19" s="16"/>
      <c r="CC19" s="16"/>
      <c r="CD19" s="16"/>
      <c r="CE19" s="16"/>
      <c r="CF19" s="19">
        <v>66</v>
      </c>
      <c r="CG19" s="16">
        <v>2970</v>
      </c>
      <c r="CH19" s="16"/>
      <c r="CI19" s="16"/>
      <c r="CJ19" s="16">
        <v>11</v>
      </c>
      <c r="CK19" s="16">
        <v>550</v>
      </c>
      <c r="CL19" s="16"/>
      <c r="CM19" s="16"/>
      <c r="CN19" s="22"/>
      <c r="CO19" s="18"/>
      <c r="CP19" s="18"/>
      <c r="CQ19" s="18"/>
      <c r="CR19" s="18"/>
      <c r="CS19" s="18"/>
      <c r="CT19" s="18">
        <v>4</v>
      </c>
      <c r="CU19" s="18">
        <v>1150</v>
      </c>
      <c r="CV19" s="16">
        <v>11</v>
      </c>
      <c r="CW19" s="16">
        <v>6325</v>
      </c>
      <c r="CX19" s="22">
        <f>ROUND(SUM(O19,Q19,S19,U19,W19,Y19,AA19,AC19,AE19,AG19,AI19,AK19,AM19,AO19,AQ19,AS19,AU19,AW19,AY19,BA19,BC19,BE19,BG19,BI19,BK19,BM19,BO19,BQ19,BS19,BU19,BW19,BY19,CA19,CC19,CE19,CG19,CI19,CK19,CM19,CO19,CQ19,CS19,CU19,CW19),2)</f>
        <v>22395</v>
      </c>
      <c r="CY19" s="19">
        <v>6098.03</v>
      </c>
      <c r="CZ19" s="16">
        <f>ROUND(CY19*0.05,2)</f>
        <v>304.89999999999998</v>
      </c>
      <c r="DA19" s="16">
        <f>ROUND(CY19+CZ19,2)</f>
        <v>6402.93</v>
      </c>
      <c r="DB19" s="23">
        <v>11</v>
      </c>
      <c r="DC19" s="26">
        <v>575</v>
      </c>
      <c r="DD19" s="18">
        <v>13</v>
      </c>
      <c r="DE19" s="18">
        <v>420</v>
      </c>
      <c r="DF19" s="18">
        <v>22</v>
      </c>
      <c r="DG19" s="18">
        <v>60</v>
      </c>
      <c r="DH19" s="18">
        <v>1</v>
      </c>
      <c r="DI19" s="18">
        <v>9290</v>
      </c>
      <c r="DJ19" s="25">
        <f>CX19</f>
        <v>22395</v>
      </c>
      <c r="DK19" s="25">
        <f t="array" ref="DK19">SUMPRODUCT(--(MOD(COLUMN(N19:CW19)-COLUMN(O19),2)=0), N19:CW19)</f>
        <v>22395</v>
      </c>
      <c r="DL19" s="20">
        <f t="shared" si="0"/>
        <v>22395</v>
      </c>
      <c r="DM19" s="23">
        <f t="shared" si="1"/>
        <v>0</v>
      </c>
      <c r="DN19" s="26">
        <f t="shared" si="2"/>
        <v>0</v>
      </c>
      <c r="DO19" s="26">
        <f t="shared" si="3"/>
        <v>0</v>
      </c>
      <c r="DP19" s="26">
        <f t="shared" si="4"/>
        <v>6325</v>
      </c>
      <c r="DQ19" s="26">
        <f t="shared" si="5"/>
        <v>5460</v>
      </c>
      <c r="DR19" s="26">
        <f t="shared" si="6"/>
        <v>1320</v>
      </c>
      <c r="DS19" s="26">
        <f t="shared" si="7"/>
        <v>9290</v>
      </c>
      <c r="DT19" s="26">
        <f t="shared" si="8"/>
        <v>22395</v>
      </c>
      <c r="DU19" s="26">
        <f t="shared" si="9"/>
        <v>0</v>
      </c>
      <c r="DV19" s="27">
        <f>CY19</f>
        <v>6098.03</v>
      </c>
      <c r="DW19" s="16">
        <f>CZ19</f>
        <v>304.89999999999998</v>
      </c>
      <c r="DX19" s="16">
        <f>DA19</f>
        <v>6402.93</v>
      </c>
      <c r="DY19" s="19"/>
      <c r="DZ19" s="28"/>
      <c r="EA19" s="29"/>
      <c r="EE19" s="31"/>
      <c r="EF19" s="31"/>
      <c r="EG19" s="31"/>
      <c r="EH19" s="31"/>
      <c r="EI19" s="31"/>
    </row>
    <row r="20" spans="1:139" s="30" customFormat="1" ht="15" customHeight="1" x14ac:dyDescent="0.3">
      <c r="A20" s="9">
        <v>1322</v>
      </c>
      <c r="B20" s="10"/>
      <c r="C20" s="11" t="s">
        <v>186</v>
      </c>
      <c r="D20" s="12" t="s">
        <v>131</v>
      </c>
      <c r="E20" s="12"/>
      <c r="F20" s="12" t="s">
        <v>187</v>
      </c>
      <c r="G20" s="13" t="s">
        <v>171</v>
      </c>
      <c r="H20" s="14" t="s">
        <v>172</v>
      </c>
      <c r="I20" s="14" t="s">
        <v>173</v>
      </c>
      <c r="J20" s="13" t="s">
        <v>134</v>
      </c>
      <c r="K20" s="13" t="s">
        <v>134</v>
      </c>
      <c r="L20" s="13" t="s">
        <v>159</v>
      </c>
      <c r="M20" s="13" t="s">
        <v>160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>
        <v>0.1</v>
      </c>
      <c r="Y20" s="16">
        <v>3916.83</v>
      </c>
      <c r="Z20" s="17"/>
      <c r="AA20" s="18"/>
      <c r="AB20" s="18"/>
      <c r="AC20" s="18"/>
      <c r="AD20" s="18"/>
      <c r="AE20" s="18"/>
      <c r="AF20" s="18"/>
      <c r="AG20" s="18"/>
      <c r="AH20" s="18"/>
      <c r="AI20" s="18"/>
      <c r="AJ20" s="19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20"/>
      <c r="BH20" s="20"/>
      <c r="BI20" s="16"/>
      <c r="BJ20" s="16"/>
      <c r="BK20" s="16"/>
      <c r="BL20" s="16"/>
      <c r="BM20" s="16"/>
      <c r="BN20" s="21"/>
      <c r="BO20" s="16"/>
      <c r="BP20" s="16"/>
      <c r="BQ20" s="16"/>
      <c r="BR20" s="16"/>
      <c r="BS20" s="16"/>
      <c r="BT20" s="16"/>
      <c r="BU20" s="20"/>
      <c r="BV20" s="20"/>
      <c r="BW20" s="20"/>
      <c r="BX20" s="16"/>
      <c r="BY20" s="16"/>
      <c r="BZ20" s="16"/>
      <c r="CA20" s="16"/>
      <c r="CB20" s="16"/>
      <c r="CC20" s="16"/>
      <c r="CD20" s="16"/>
      <c r="CE20" s="16"/>
      <c r="CF20" s="19"/>
      <c r="CG20" s="16"/>
      <c r="CH20" s="16"/>
      <c r="CI20" s="16"/>
      <c r="CJ20" s="16"/>
      <c r="CK20" s="16"/>
      <c r="CL20" s="16"/>
      <c r="CM20" s="16"/>
      <c r="CN20" s="22"/>
      <c r="CO20" s="18"/>
      <c r="CP20" s="18"/>
      <c r="CQ20" s="18"/>
      <c r="CR20" s="18"/>
      <c r="CS20" s="18"/>
      <c r="CT20" s="18"/>
      <c r="CU20" s="18"/>
      <c r="CV20" s="16"/>
      <c r="CW20" s="16"/>
      <c r="CX20" s="22">
        <f>ROUND(SUM(O20,Q20,S20,U20,W20,Y20,AA20,AC20,AE20,AG20,AI20,AK20,AM20,AO20,AQ20,AS20,AU20,AW20,AY20,BA20,BC20,BE20,BG20,BI20,BK20,BM20,BO20,BQ20,BS20,BU20,BW20,BY20,CA20,CC20,CE20,CG20,CI20,CK20,CM20,CO20,CQ20,CS20,CU20,CW20),2)</f>
        <v>3916.83</v>
      </c>
      <c r="CY20" s="19">
        <v>1066.53</v>
      </c>
      <c r="CZ20" s="16">
        <f>ROUND(CY20*0.05,2)</f>
        <v>53.33</v>
      </c>
      <c r="DA20" s="16">
        <f>ROUND(CY20+CZ20,2)</f>
        <v>1119.8599999999999</v>
      </c>
      <c r="DB20" s="23">
        <v>1</v>
      </c>
      <c r="DC20" s="26">
        <v>3916.83</v>
      </c>
      <c r="DD20" s="18"/>
      <c r="DE20" s="18"/>
      <c r="DF20" s="18"/>
      <c r="DG20" s="18"/>
      <c r="DH20" s="18"/>
      <c r="DI20" s="18"/>
      <c r="DJ20" s="25">
        <f>CX20</f>
        <v>3916.83</v>
      </c>
      <c r="DK20" s="25">
        <f t="array" ref="DK20">SUMPRODUCT(--(MOD(COLUMN(N20:CW20)-COLUMN(O20),2)=0), N20:CW20)</f>
        <v>3916.83</v>
      </c>
      <c r="DL20" s="20">
        <f t="shared" si="0"/>
        <v>3916.83</v>
      </c>
      <c r="DM20" s="23">
        <f t="shared" si="1"/>
        <v>0</v>
      </c>
      <c r="DN20" s="26">
        <f t="shared" si="2"/>
        <v>0</v>
      </c>
      <c r="DO20" s="26">
        <f t="shared" si="3"/>
        <v>0</v>
      </c>
      <c r="DP20" s="26">
        <f t="shared" si="4"/>
        <v>3916.83</v>
      </c>
      <c r="DQ20" s="26">
        <f t="shared" si="5"/>
        <v>0</v>
      </c>
      <c r="DR20" s="26">
        <f t="shared" si="6"/>
        <v>0</v>
      </c>
      <c r="DS20" s="26">
        <f t="shared" si="7"/>
        <v>0</v>
      </c>
      <c r="DT20" s="26">
        <f t="shared" si="8"/>
        <v>3916.83</v>
      </c>
      <c r="DU20" s="26">
        <f t="shared" si="9"/>
        <v>0</v>
      </c>
      <c r="DV20" s="27">
        <f>CY20</f>
        <v>1066.53</v>
      </c>
      <c r="DW20" s="16">
        <f>CZ20</f>
        <v>53.33</v>
      </c>
      <c r="DX20" s="16">
        <f>DA20</f>
        <v>1119.8599999999999</v>
      </c>
      <c r="DY20" s="19"/>
      <c r="DZ20" s="28"/>
      <c r="EA20" s="29"/>
      <c r="EE20" s="31"/>
      <c r="EF20" s="31"/>
      <c r="EG20" s="31"/>
      <c r="EH20" s="31"/>
      <c r="EI20" s="31"/>
    </row>
    <row r="21" spans="1:139" s="30" customFormat="1" ht="15" customHeight="1" x14ac:dyDescent="0.3">
      <c r="A21" s="9">
        <v>1323</v>
      </c>
      <c r="B21" s="10"/>
      <c r="C21" s="11" t="s">
        <v>188</v>
      </c>
      <c r="D21" s="12" t="s">
        <v>131</v>
      </c>
      <c r="E21" s="12"/>
      <c r="F21" s="12" t="s">
        <v>189</v>
      </c>
      <c r="G21" s="13" t="s">
        <v>190</v>
      </c>
      <c r="H21" s="14" t="s">
        <v>172</v>
      </c>
      <c r="I21" s="14" t="s">
        <v>173</v>
      </c>
      <c r="J21" s="13" t="s">
        <v>134</v>
      </c>
      <c r="K21" s="13" t="s">
        <v>134</v>
      </c>
      <c r="L21" s="13" t="s">
        <v>191</v>
      </c>
      <c r="M21" s="13" t="s">
        <v>192</v>
      </c>
      <c r="N21" s="15"/>
      <c r="O21" s="16"/>
      <c r="P21" s="16"/>
      <c r="Q21" s="16"/>
      <c r="R21" s="16">
        <v>1</v>
      </c>
      <c r="S21" s="16">
        <v>200</v>
      </c>
      <c r="T21" s="16"/>
      <c r="U21" s="16"/>
      <c r="V21" s="16"/>
      <c r="W21" s="16"/>
      <c r="X21" s="16"/>
      <c r="Y21" s="16"/>
      <c r="Z21" s="17"/>
      <c r="AA21" s="18"/>
      <c r="AB21" s="18"/>
      <c r="AC21" s="18"/>
      <c r="AD21" s="18"/>
      <c r="AE21" s="18"/>
      <c r="AF21" s="18"/>
      <c r="AG21" s="18"/>
      <c r="AH21" s="18"/>
      <c r="AI21" s="18"/>
      <c r="AJ21" s="19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20"/>
      <c r="BH21" s="20"/>
      <c r="BI21" s="16"/>
      <c r="BJ21" s="16"/>
      <c r="BK21" s="16"/>
      <c r="BL21" s="16"/>
      <c r="BM21" s="16"/>
      <c r="BN21" s="21"/>
      <c r="BO21" s="16"/>
      <c r="BP21" s="16"/>
      <c r="BQ21" s="16"/>
      <c r="BR21" s="16"/>
      <c r="BS21" s="16"/>
      <c r="BT21" s="16"/>
      <c r="BU21" s="20"/>
      <c r="BV21" s="20"/>
      <c r="BW21" s="20"/>
      <c r="BX21" s="16"/>
      <c r="BY21" s="16"/>
      <c r="BZ21" s="16"/>
      <c r="CA21" s="16"/>
      <c r="CB21" s="16"/>
      <c r="CC21" s="16"/>
      <c r="CD21" s="16"/>
      <c r="CE21" s="16"/>
      <c r="CF21" s="19"/>
      <c r="CG21" s="16"/>
      <c r="CH21" s="16"/>
      <c r="CI21" s="16"/>
      <c r="CJ21" s="16"/>
      <c r="CK21" s="16"/>
      <c r="CL21" s="16"/>
      <c r="CM21" s="16"/>
      <c r="CN21" s="22"/>
      <c r="CO21" s="18"/>
      <c r="CP21" s="18"/>
      <c r="CQ21" s="18"/>
      <c r="CR21" s="18"/>
      <c r="CS21" s="18"/>
      <c r="CT21" s="18"/>
      <c r="CU21" s="18"/>
      <c r="CV21" s="16"/>
      <c r="CW21" s="16"/>
      <c r="CX21" s="22">
        <f>ROUND(SUM(O21,Q21,S21,U21,W21,Y21,AA21,AC21,AE21,AG21,AI21,AK21,AM21,AO21,AQ21,AS21,AU21,AW21,AY21,BA21,BC21,BE21,BG21,BI21,BK21,BM21,BO21,BQ21,BS21,BU21,BW21,BY21,CA21,CC21,CE21,CG21,CI21,CK21,CM21,CO21,CQ21,CS21,CU21,CW21),2)</f>
        <v>200</v>
      </c>
      <c r="CY21" s="19">
        <v>54.46</v>
      </c>
      <c r="CZ21" s="16">
        <f>ROUND(CY21*0.05,2)</f>
        <v>2.72</v>
      </c>
      <c r="DA21" s="16">
        <f>ROUND(CY21+CZ21,2)</f>
        <v>57.18</v>
      </c>
      <c r="DB21" s="23">
        <v>1</v>
      </c>
      <c r="DC21" s="26">
        <v>200</v>
      </c>
      <c r="DD21" s="18"/>
      <c r="DE21" s="18"/>
      <c r="DF21" s="18"/>
      <c r="DG21" s="18"/>
      <c r="DH21" s="18"/>
      <c r="DI21" s="18"/>
      <c r="DJ21" s="25">
        <f>CX21</f>
        <v>200</v>
      </c>
      <c r="DK21" s="25">
        <f t="array" ref="DK21">SUMPRODUCT(--(MOD(COLUMN(N21:CW21)-COLUMN(O21),2)=0), N21:CW21)</f>
        <v>200</v>
      </c>
      <c r="DL21" s="20">
        <f t="shared" si="0"/>
        <v>200</v>
      </c>
      <c r="DM21" s="23">
        <f t="shared" si="1"/>
        <v>0</v>
      </c>
      <c r="DN21" s="26">
        <f t="shared" si="2"/>
        <v>0</v>
      </c>
      <c r="DO21" s="26">
        <f t="shared" si="3"/>
        <v>0</v>
      </c>
      <c r="DP21" s="26">
        <f t="shared" si="4"/>
        <v>200</v>
      </c>
      <c r="DQ21" s="26">
        <f t="shared" si="5"/>
        <v>0</v>
      </c>
      <c r="DR21" s="26">
        <f t="shared" si="6"/>
        <v>0</v>
      </c>
      <c r="DS21" s="26">
        <f t="shared" si="7"/>
        <v>0</v>
      </c>
      <c r="DT21" s="26">
        <f t="shared" si="8"/>
        <v>200</v>
      </c>
      <c r="DU21" s="26">
        <f t="shared" si="9"/>
        <v>0</v>
      </c>
      <c r="DV21" s="27">
        <f>CY21</f>
        <v>54.46</v>
      </c>
      <c r="DW21" s="16">
        <f>CZ21</f>
        <v>2.72</v>
      </c>
      <c r="DX21" s="16">
        <f>DA21</f>
        <v>57.18</v>
      </c>
      <c r="DY21" s="19"/>
      <c r="DZ21" s="28"/>
      <c r="EA21" s="29"/>
      <c r="EE21" s="31"/>
      <c r="EF21" s="31"/>
      <c r="EG21" s="31"/>
      <c r="EH21" s="31"/>
      <c r="EI21" s="31"/>
    </row>
    <row r="22" spans="1:139" s="30" customFormat="1" ht="15" customHeight="1" x14ac:dyDescent="0.3">
      <c r="A22" s="9">
        <v>1324</v>
      </c>
      <c r="B22" s="10"/>
      <c r="C22" s="11" t="s">
        <v>193</v>
      </c>
      <c r="D22" s="12" t="s">
        <v>131</v>
      </c>
      <c r="E22" s="12"/>
      <c r="F22" s="12" t="s">
        <v>194</v>
      </c>
      <c r="G22" s="13" t="s">
        <v>171</v>
      </c>
      <c r="H22" s="14" t="s">
        <v>172</v>
      </c>
      <c r="I22" s="14" t="s">
        <v>173</v>
      </c>
      <c r="J22" s="13" t="s">
        <v>134</v>
      </c>
      <c r="K22" s="13" t="s">
        <v>134</v>
      </c>
      <c r="L22" s="13" t="s">
        <v>195</v>
      </c>
      <c r="M22" s="13" t="s">
        <v>162</v>
      </c>
      <c r="N22" s="15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7"/>
      <c r="AA22" s="18"/>
      <c r="AB22" s="18"/>
      <c r="AC22" s="18"/>
      <c r="AD22" s="18"/>
      <c r="AE22" s="18"/>
      <c r="AF22" s="18"/>
      <c r="AG22" s="18"/>
      <c r="AH22" s="18"/>
      <c r="AI22" s="18"/>
      <c r="AJ22" s="19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20"/>
      <c r="BH22" s="20"/>
      <c r="BI22" s="16"/>
      <c r="BJ22" s="16"/>
      <c r="BK22" s="16"/>
      <c r="BL22" s="16"/>
      <c r="BM22" s="16"/>
      <c r="BN22" s="21"/>
      <c r="BO22" s="16"/>
      <c r="BP22" s="16"/>
      <c r="BQ22" s="16"/>
      <c r="BR22" s="16"/>
      <c r="BS22" s="16"/>
      <c r="BT22" s="16"/>
      <c r="BU22" s="20"/>
      <c r="BV22" s="20"/>
      <c r="BW22" s="20"/>
      <c r="BX22" s="16"/>
      <c r="BY22" s="16"/>
      <c r="BZ22" s="16"/>
      <c r="CA22" s="16"/>
      <c r="CB22" s="16"/>
      <c r="CC22" s="16"/>
      <c r="CD22" s="16"/>
      <c r="CE22" s="16"/>
      <c r="CF22" s="19"/>
      <c r="CG22" s="16"/>
      <c r="CH22" s="16"/>
      <c r="CI22" s="16"/>
      <c r="CJ22" s="16"/>
      <c r="CK22" s="16"/>
      <c r="CL22" s="16"/>
      <c r="CM22" s="16"/>
      <c r="CN22" s="22"/>
      <c r="CO22" s="18"/>
      <c r="CP22" s="18"/>
      <c r="CQ22" s="18"/>
      <c r="CR22" s="18"/>
      <c r="CS22" s="18"/>
      <c r="CT22" s="18"/>
      <c r="CU22" s="18"/>
      <c r="CV22" s="16">
        <v>2</v>
      </c>
      <c r="CW22" s="16">
        <v>400.01</v>
      </c>
      <c r="CX22" s="22">
        <f>ROUND(SUM(O22,Q22,S22,U22,W22,Y22,AA22,AC22,AE22,AG22,AI22,AK22,AM22,AO22,AQ22,AS22,AU22,AW22,AY22,BA22,BC22,BE22,BG22,BI22,BK22,BM22,BO22,BQ22,BS22,BU22,BW22,BY22,CA22,CC22,CE22,CG22,CI22,CK22,CM22,CO22,CQ22,CS22,CU22,CW22),2)</f>
        <v>400.01</v>
      </c>
      <c r="CY22" s="19">
        <v>108.92</v>
      </c>
      <c r="CZ22" s="16">
        <f>ROUND(CY22*0.05,2)</f>
        <v>5.45</v>
      </c>
      <c r="DA22" s="16">
        <f>ROUND(CY22+CZ22,2)</f>
        <v>114.37</v>
      </c>
      <c r="DB22" s="23">
        <v>2</v>
      </c>
      <c r="DC22" s="26">
        <v>200</v>
      </c>
      <c r="DD22" s="18"/>
      <c r="DE22" s="18"/>
      <c r="DF22" s="18"/>
      <c r="DG22" s="18"/>
      <c r="DH22" s="18"/>
      <c r="DI22" s="18"/>
      <c r="DJ22" s="25">
        <f>CX22</f>
        <v>400.01</v>
      </c>
      <c r="DK22" s="25">
        <f t="array" ref="DK22">SUMPRODUCT(--(MOD(COLUMN(N22:CW22)-COLUMN(O22),2)=0), N22:CW22)</f>
        <v>400.01</v>
      </c>
      <c r="DL22" s="20">
        <f t="shared" si="0"/>
        <v>400</v>
      </c>
      <c r="DM22" s="23">
        <f t="shared" si="1"/>
        <v>0</v>
      </c>
      <c r="DN22" s="26">
        <f t="shared" si="2"/>
        <v>9.9999999999909051E-3</v>
      </c>
      <c r="DO22" s="26">
        <f t="shared" si="3"/>
        <v>-9.9999999999909051E-3</v>
      </c>
      <c r="DP22" s="26">
        <f t="shared" si="4"/>
        <v>400</v>
      </c>
      <c r="DQ22" s="26">
        <f t="shared" si="5"/>
        <v>0</v>
      </c>
      <c r="DR22" s="26">
        <f t="shared" si="6"/>
        <v>0</v>
      </c>
      <c r="DS22" s="26">
        <f t="shared" si="7"/>
        <v>0</v>
      </c>
      <c r="DT22" s="26">
        <f t="shared" si="8"/>
        <v>400</v>
      </c>
      <c r="DU22" s="26">
        <f t="shared" si="9"/>
        <v>9.9999999999909051E-3</v>
      </c>
      <c r="DV22" s="27">
        <f>CY22</f>
        <v>108.92</v>
      </c>
      <c r="DW22" s="16">
        <f>CZ22</f>
        <v>5.45</v>
      </c>
      <c r="DX22" s="16">
        <f>DA22</f>
        <v>114.37</v>
      </c>
      <c r="DY22" s="19"/>
      <c r="DZ22" s="28"/>
      <c r="EA22" s="29"/>
      <c r="EE22" s="31"/>
      <c r="EF22" s="31"/>
      <c r="EG22" s="31"/>
      <c r="EH22" s="31"/>
      <c r="EI22" s="31"/>
    </row>
    <row r="23" spans="1:139" s="30" customFormat="1" ht="15" customHeight="1" x14ac:dyDescent="0.3">
      <c r="A23" s="9">
        <v>1325</v>
      </c>
      <c r="B23" s="10"/>
      <c r="C23" s="11" t="s">
        <v>196</v>
      </c>
      <c r="D23" s="12" t="s">
        <v>131</v>
      </c>
      <c r="E23" s="12"/>
      <c r="F23" s="12" t="s">
        <v>197</v>
      </c>
      <c r="G23" s="13" t="s">
        <v>190</v>
      </c>
      <c r="H23" s="14" t="s">
        <v>172</v>
      </c>
      <c r="I23" s="14" t="s">
        <v>173</v>
      </c>
      <c r="J23" s="13" t="s">
        <v>134</v>
      </c>
      <c r="K23" s="13" t="s">
        <v>134</v>
      </c>
      <c r="L23" s="13" t="s">
        <v>195</v>
      </c>
      <c r="M23" s="13" t="s">
        <v>162</v>
      </c>
      <c r="N23" s="15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7"/>
      <c r="AA23" s="18"/>
      <c r="AB23" s="18"/>
      <c r="AC23" s="18"/>
      <c r="AD23" s="18"/>
      <c r="AE23" s="18"/>
      <c r="AF23" s="18"/>
      <c r="AG23" s="18"/>
      <c r="AH23" s="18"/>
      <c r="AI23" s="18"/>
      <c r="AJ23" s="19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20"/>
      <c r="BH23" s="20"/>
      <c r="BI23" s="16"/>
      <c r="BJ23" s="16"/>
      <c r="BK23" s="16"/>
      <c r="BL23" s="16"/>
      <c r="BM23" s="16"/>
      <c r="BN23" s="21"/>
      <c r="BO23" s="16"/>
      <c r="BP23" s="16"/>
      <c r="BQ23" s="16"/>
      <c r="BR23" s="16"/>
      <c r="BS23" s="16"/>
      <c r="BT23" s="16"/>
      <c r="BU23" s="20"/>
      <c r="BV23" s="20"/>
      <c r="BW23" s="20"/>
      <c r="BX23" s="16"/>
      <c r="BY23" s="16"/>
      <c r="BZ23" s="16"/>
      <c r="CA23" s="16"/>
      <c r="CB23" s="16"/>
      <c r="CC23" s="16"/>
      <c r="CD23" s="16"/>
      <c r="CE23" s="16"/>
      <c r="CF23" s="19"/>
      <c r="CG23" s="16"/>
      <c r="CH23" s="16"/>
      <c r="CI23" s="16"/>
      <c r="CJ23" s="16"/>
      <c r="CK23" s="16"/>
      <c r="CL23" s="16"/>
      <c r="CM23" s="16"/>
      <c r="CN23" s="22"/>
      <c r="CO23" s="18"/>
      <c r="CP23" s="18"/>
      <c r="CQ23" s="18"/>
      <c r="CR23" s="18"/>
      <c r="CS23" s="18"/>
      <c r="CT23" s="18"/>
      <c r="CU23" s="18"/>
      <c r="CV23" s="16">
        <v>1</v>
      </c>
      <c r="CW23" s="16">
        <v>200</v>
      </c>
      <c r="CX23" s="22">
        <f>ROUND(SUM(O23,Q23,S23,U23,W23,Y23,AA23,AC23,AE23,AG23,AI23,AK23,AM23,AO23,AQ23,AS23,AU23,AW23,AY23,BA23,BC23,BE23,BG23,BI23,BK23,BM23,BO23,BQ23,BS23,BU23,BW23,BY23,CA23,CC23,CE23,CG23,CI23,CK23,CM23,CO23,CQ23,CS23,CU23,CW23),2)</f>
        <v>200</v>
      </c>
      <c r="CY23" s="19">
        <v>54.46</v>
      </c>
      <c r="CZ23" s="16">
        <f>ROUND(CY23*0.05,2)</f>
        <v>2.72</v>
      </c>
      <c r="DA23" s="16">
        <f>ROUND(CY23+CZ23,2)</f>
        <v>57.18</v>
      </c>
      <c r="DB23" s="23">
        <v>1</v>
      </c>
      <c r="DC23" s="26">
        <v>200</v>
      </c>
      <c r="DD23" s="18"/>
      <c r="DE23" s="18"/>
      <c r="DF23" s="18"/>
      <c r="DG23" s="18"/>
      <c r="DH23" s="18"/>
      <c r="DI23" s="18"/>
      <c r="DJ23" s="25">
        <f>CX23</f>
        <v>200</v>
      </c>
      <c r="DK23" s="25">
        <f t="array" ref="DK23">SUMPRODUCT(--(MOD(COLUMN(N23:CW23)-COLUMN(O23),2)=0), N23:CW23)</f>
        <v>200</v>
      </c>
      <c r="DL23" s="20">
        <f t="shared" si="0"/>
        <v>200</v>
      </c>
      <c r="DM23" s="23">
        <f t="shared" si="1"/>
        <v>0</v>
      </c>
      <c r="DN23" s="26">
        <f t="shared" si="2"/>
        <v>0</v>
      </c>
      <c r="DO23" s="26">
        <f t="shared" si="3"/>
        <v>0</v>
      </c>
      <c r="DP23" s="26">
        <f t="shared" si="4"/>
        <v>200</v>
      </c>
      <c r="DQ23" s="26">
        <f t="shared" si="5"/>
        <v>0</v>
      </c>
      <c r="DR23" s="26">
        <f t="shared" si="6"/>
        <v>0</v>
      </c>
      <c r="DS23" s="26">
        <f t="shared" si="7"/>
        <v>0</v>
      </c>
      <c r="DT23" s="26">
        <f t="shared" si="8"/>
        <v>200</v>
      </c>
      <c r="DU23" s="26">
        <f t="shared" si="9"/>
        <v>0</v>
      </c>
      <c r="DV23" s="27">
        <f>CY23</f>
        <v>54.46</v>
      </c>
      <c r="DW23" s="16">
        <f>CZ23</f>
        <v>2.72</v>
      </c>
      <c r="DX23" s="16">
        <f>DA23</f>
        <v>57.18</v>
      </c>
      <c r="DY23" s="19"/>
      <c r="DZ23" s="28"/>
      <c r="EA23" s="29"/>
      <c r="EE23" s="31"/>
      <c r="EF23" s="31"/>
      <c r="EG23" s="31"/>
      <c r="EH23" s="31"/>
      <c r="EI23" s="31"/>
    </row>
    <row r="24" spans="1:139" s="30" customFormat="1" ht="15" customHeight="1" x14ac:dyDescent="0.3">
      <c r="A24" s="9">
        <v>1326</v>
      </c>
      <c r="B24" s="10"/>
      <c r="C24" s="11" t="s">
        <v>198</v>
      </c>
      <c r="D24" s="12" t="s">
        <v>131</v>
      </c>
      <c r="E24" s="12"/>
      <c r="F24" s="12" t="s">
        <v>199</v>
      </c>
      <c r="G24" s="13" t="s">
        <v>171</v>
      </c>
      <c r="H24" s="14" t="s">
        <v>172</v>
      </c>
      <c r="I24" s="14" t="s">
        <v>173</v>
      </c>
      <c r="J24" s="13" t="s">
        <v>134</v>
      </c>
      <c r="K24" s="13" t="s">
        <v>134</v>
      </c>
      <c r="L24" s="13" t="s">
        <v>200</v>
      </c>
      <c r="M24" s="13" t="s">
        <v>201</v>
      </c>
      <c r="N24" s="15">
        <v>1</v>
      </c>
      <c r="O24" s="16">
        <v>500.01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7"/>
      <c r="AA24" s="18"/>
      <c r="AB24" s="18"/>
      <c r="AC24" s="18"/>
      <c r="AD24" s="18"/>
      <c r="AE24" s="18"/>
      <c r="AF24" s="18"/>
      <c r="AG24" s="18"/>
      <c r="AH24" s="18"/>
      <c r="AI24" s="18"/>
      <c r="AJ24" s="19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20"/>
      <c r="BH24" s="20"/>
      <c r="BI24" s="16"/>
      <c r="BJ24" s="16"/>
      <c r="BK24" s="16"/>
      <c r="BL24" s="16"/>
      <c r="BM24" s="16"/>
      <c r="BN24" s="21"/>
      <c r="BO24" s="16"/>
      <c r="BP24" s="16"/>
      <c r="BQ24" s="16"/>
      <c r="BR24" s="16"/>
      <c r="BS24" s="16"/>
      <c r="BT24" s="16"/>
      <c r="BU24" s="20"/>
      <c r="BV24" s="20"/>
      <c r="BW24" s="20"/>
      <c r="BX24" s="16"/>
      <c r="BY24" s="16"/>
      <c r="BZ24" s="16"/>
      <c r="CA24" s="16"/>
      <c r="CB24" s="16"/>
      <c r="CC24" s="16"/>
      <c r="CD24" s="16"/>
      <c r="CE24" s="16"/>
      <c r="CF24" s="19"/>
      <c r="CG24" s="16"/>
      <c r="CH24" s="16"/>
      <c r="CI24" s="16"/>
      <c r="CJ24" s="16"/>
      <c r="CK24" s="16"/>
      <c r="CL24" s="16"/>
      <c r="CM24" s="16"/>
      <c r="CN24" s="22"/>
      <c r="CO24" s="18"/>
      <c r="CP24" s="18"/>
      <c r="CQ24" s="18"/>
      <c r="CR24" s="18"/>
      <c r="CS24" s="18"/>
      <c r="CT24" s="18"/>
      <c r="CU24" s="18"/>
      <c r="CV24" s="16"/>
      <c r="CW24" s="16"/>
      <c r="CX24" s="22">
        <f>ROUND(SUM(O24,Q24,S24,U24,W24,Y24,AA24,AC24,AE24,AG24,AI24,AK24,AM24,AO24,AQ24,AS24,AU24,AW24,AY24,BA24,BC24,BE24,BG24,BI24,BK24,BM24,BO24,BQ24,BS24,BU24,BW24,BY24,CA24,CC24,CE24,CG24,CI24,CK24,CM24,CO24,CQ24,CS24,CU24,CW24),2)</f>
        <v>500.01</v>
      </c>
      <c r="CY24" s="19">
        <v>136.15</v>
      </c>
      <c r="CZ24" s="16">
        <f>ROUND(CY24*0.05,2)</f>
        <v>6.81</v>
      </c>
      <c r="DA24" s="16">
        <f>ROUND(CY24+CZ24,2)</f>
        <v>142.96</v>
      </c>
      <c r="DB24" s="23">
        <v>1</v>
      </c>
      <c r="DC24" s="26">
        <v>500.01</v>
      </c>
      <c r="DD24" s="18"/>
      <c r="DE24" s="18"/>
      <c r="DF24" s="18"/>
      <c r="DG24" s="18"/>
      <c r="DH24" s="18"/>
      <c r="DI24" s="18"/>
      <c r="DJ24" s="25">
        <f>CX24</f>
        <v>500.01</v>
      </c>
      <c r="DK24" s="25">
        <f t="array" ref="DK24">SUMPRODUCT(--(MOD(COLUMN(N24:CW24)-COLUMN(O24),2)=0), N24:CW24)</f>
        <v>500.01</v>
      </c>
      <c r="DL24" s="20">
        <f t="shared" si="0"/>
        <v>500.01</v>
      </c>
      <c r="DM24" s="23">
        <f t="shared" si="1"/>
        <v>0</v>
      </c>
      <c r="DN24" s="26">
        <f t="shared" si="2"/>
        <v>0</v>
      </c>
      <c r="DO24" s="26">
        <f t="shared" si="3"/>
        <v>0</v>
      </c>
      <c r="DP24" s="26">
        <f t="shared" si="4"/>
        <v>500.01</v>
      </c>
      <c r="DQ24" s="26">
        <f t="shared" si="5"/>
        <v>0</v>
      </c>
      <c r="DR24" s="26">
        <f t="shared" si="6"/>
        <v>0</v>
      </c>
      <c r="DS24" s="26">
        <f t="shared" si="7"/>
        <v>0</v>
      </c>
      <c r="DT24" s="26">
        <f t="shared" si="8"/>
        <v>500.01</v>
      </c>
      <c r="DU24" s="26">
        <f t="shared" si="9"/>
        <v>0</v>
      </c>
      <c r="DV24" s="27">
        <f>CY24</f>
        <v>136.15</v>
      </c>
      <c r="DW24" s="16">
        <f>CZ24</f>
        <v>6.81</v>
      </c>
      <c r="DX24" s="16">
        <f>DA24</f>
        <v>142.96</v>
      </c>
      <c r="DY24" s="19"/>
      <c r="DZ24" s="28"/>
      <c r="EA24" s="29"/>
      <c r="EE24" s="31"/>
      <c r="EF24" s="31"/>
      <c r="EG24" s="31"/>
      <c r="EH24" s="31"/>
      <c r="EI24" s="31"/>
    </row>
    <row r="25" spans="1:139" s="30" customFormat="1" ht="15" customHeight="1" x14ac:dyDescent="0.3">
      <c r="A25" s="9">
        <v>1327</v>
      </c>
      <c r="B25" s="10"/>
      <c r="C25" s="11" t="s">
        <v>202</v>
      </c>
      <c r="D25" s="12" t="s">
        <v>131</v>
      </c>
      <c r="E25" s="12"/>
      <c r="F25" s="12" t="s">
        <v>166</v>
      </c>
      <c r="G25" s="13" t="s">
        <v>171</v>
      </c>
      <c r="H25" s="14" t="s">
        <v>172</v>
      </c>
      <c r="I25" s="14" t="s">
        <v>173</v>
      </c>
      <c r="J25" s="13" t="s">
        <v>134</v>
      </c>
      <c r="K25" s="13" t="s">
        <v>134</v>
      </c>
      <c r="L25" s="13" t="s">
        <v>167</v>
      </c>
      <c r="M25" s="13" t="s">
        <v>168</v>
      </c>
      <c r="N25" s="15"/>
      <c r="O25" s="16"/>
      <c r="P25" s="16"/>
      <c r="Q25" s="16"/>
      <c r="R25" s="16"/>
      <c r="S25" s="16"/>
      <c r="T25" s="16">
        <v>2</v>
      </c>
      <c r="U25" s="16">
        <v>299.97000000000003</v>
      </c>
      <c r="V25" s="16"/>
      <c r="W25" s="16"/>
      <c r="X25" s="16"/>
      <c r="Y25" s="16"/>
      <c r="Z25" s="17"/>
      <c r="AA25" s="18"/>
      <c r="AB25" s="18"/>
      <c r="AC25" s="18"/>
      <c r="AD25" s="18"/>
      <c r="AE25" s="18"/>
      <c r="AF25" s="18"/>
      <c r="AG25" s="18"/>
      <c r="AH25" s="18"/>
      <c r="AI25" s="18"/>
      <c r="AJ25" s="19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20"/>
      <c r="BH25" s="20"/>
      <c r="BI25" s="16"/>
      <c r="BJ25" s="16"/>
      <c r="BK25" s="16"/>
      <c r="BL25" s="16"/>
      <c r="BM25" s="16"/>
      <c r="BN25" s="21"/>
      <c r="BO25" s="16"/>
      <c r="BP25" s="16"/>
      <c r="BQ25" s="16"/>
      <c r="BR25" s="16"/>
      <c r="BS25" s="16"/>
      <c r="BT25" s="16"/>
      <c r="BU25" s="20"/>
      <c r="BV25" s="20"/>
      <c r="BW25" s="20"/>
      <c r="BX25" s="16"/>
      <c r="BY25" s="16"/>
      <c r="BZ25" s="16"/>
      <c r="CA25" s="16"/>
      <c r="CB25" s="16"/>
      <c r="CC25" s="16"/>
      <c r="CD25" s="16"/>
      <c r="CE25" s="16"/>
      <c r="CF25" s="19"/>
      <c r="CG25" s="16"/>
      <c r="CH25" s="16"/>
      <c r="CI25" s="16"/>
      <c r="CJ25" s="16"/>
      <c r="CK25" s="16"/>
      <c r="CL25" s="16"/>
      <c r="CM25" s="16"/>
      <c r="CN25" s="22"/>
      <c r="CO25" s="18"/>
      <c r="CP25" s="18"/>
      <c r="CQ25" s="18"/>
      <c r="CR25" s="18"/>
      <c r="CS25" s="18"/>
      <c r="CT25" s="18"/>
      <c r="CU25" s="18"/>
      <c r="CV25" s="16"/>
      <c r="CW25" s="16"/>
      <c r="CX25" s="22">
        <f>ROUND(SUM(O25,Q25,S25,U25,W25,Y25,AA25,AC25,AE25,AG25,AI25,AK25,AM25,AO25,AQ25,AS25,AU25,AW25,AY25,BA25,BC25,BE25,BG25,BI25,BK25,BM25,BO25,BQ25,BS25,BU25,BW25,BY25,CA25,CC25,CE25,CG25,CI25,CK25,CM25,CO25,CQ25,CS25,CU25,CW25),2)</f>
        <v>299.97000000000003</v>
      </c>
      <c r="CY25" s="19">
        <v>81.680000000000007</v>
      </c>
      <c r="CZ25" s="16">
        <f>ROUND(CY25*0.05,2)</f>
        <v>4.08</v>
      </c>
      <c r="DA25" s="16">
        <f>ROUND(CY25+CZ25,2)</f>
        <v>85.76</v>
      </c>
      <c r="DB25" s="23">
        <v>2</v>
      </c>
      <c r="DC25" s="26">
        <v>149.99</v>
      </c>
      <c r="DD25" s="18"/>
      <c r="DE25" s="18"/>
      <c r="DF25" s="18"/>
      <c r="DG25" s="18"/>
      <c r="DH25" s="18"/>
      <c r="DI25" s="18"/>
      <c r="DJ25" s="25">
        <f>CX25</f>
        <v>299.97000000000003</v>
      </c>
      <c r="DK25" s="25">
        <f t="array" ref="DK25">SUMPRODUCT(--(MOD(COLUMN(N25:CW25)-COLUMN(O25),2)=0), N25:CW25)</f>
        <v>299.97000000000003</v>
      </c>
      <c r="DL25" s="20">
        <f t="shared" si="0"/>
        <v>299.98</v>
      </c>
      <c r="DM25" s="23">
        <f t="shared" si="1"/>
        <v>0</v>
      </c>
      <c r="DN25" s="26">
        <f t="shared" si="2"/>
        <v>-9.9999999999909051E-3</v>
      </c>
      <c r="DO25" s="26">
        <f t="shared" si="3"/>
        <v>9.9999999999909051E-3</v>
      </c>
      <c r="DP25" s="26">
        <f t="shared" si="4"/>
        <v>299.98</v>
      </c>
      <c r="DQ25" s="26">
        <f t="shared" si="5"/>
        <v>0</v>
      </c>
      <c r="DR25" s="26">
        <f t="shared" si="6"/>
        <v>0</v>
      </c>
      <c r="DS25" s="26">
        <f t="shared" si="7"/>
        <v>0</v>
      </c>
      <c r="DT25" s="26">
        <f t="shared" si="8"/>
        <v>299.98</v>
      </c>
      <c r="DU25" s="26">
        <f t="shared" si="9"/>
        <v>-9.9999999999909051E-3</v>
      </c>
      <c r="DV25" s="27">
        <f>CY25</f>
        <v>81.680000000000007</v>
      </c>
      <c r="DW25" s="16">
        <f>CZ25</f>
        <v>4.08</v>
      </c>
      <c r="DX25" s="16">
        <f>DA25</f>
        <v>85.76</v>
      </c>
      <c r="DY25" s="19"/>
      <c r="DZ25" s="28"/>
      <c r="EA25" s="29"/>
      <c r="EE25" s="31"/>
      <c r="EF25" s="31"/>
      <c r="EG25" s="31"/>
      <c r="EH25" s="31"/>
      <c r="EI25" s="31"/>
    </row>
    <row r="26" spans="1:139" s="30" customFormat="1" ht="15" customHeight="1" x14ac:dyDescent="0.3">
      <c r="A26" s="9">
        <v>1328</v>
      </c>
      <c r="B26" s="10"/>
      <c r="C26" s="11" t="s">
        <v>203</v>
      </c>
      <c r="D26" s="12" t="s">
        <v>131</v>
      </c>
      <c r="E26" s="12"/>
      <c r="F26" s="12" t="s">
        <v>204</v>
      </c>
      <c r="G26" s="13" t="s">
        <v>171</v>
      </c>
      <c r="H26" s="14" t="s">
        <v>172</v>
      </c>
      <c r="I26" s="14" t="s">
        <v>173</v>
      </c>
      <c r="J26" s="13" t="s">
        <v>134</v>
      </c>
      <c r="K26" s="13" t="s">
        <v>134</v>
      </c>
      <c r="L26" s="13" t="s">
        <v>135</v>
      </c>
      <c r="M26" s="13" t="s">
        <v>136</v>
      </c>
      <c r="N26" s="15"/>
      <c r="O26" s="16"/>
      <c r="P26" s="16">
        <v>1</v>
      </c>
      <c r="Q26" s="16">
        <v>1800</v>
      </c>
      <c r="R26" s="16"/>
      <c r="S26" s="16"/>
      <c r="T26" s="16"/>
      <c r="U26" s="16"/>
      <c r="V26" s="16"/>
      <c r="W26" s="16"/>
      <c r="X26" s="16"/>
      <c r="Y26" s="16"/>
      <c r="Z26" s="17"/>
      <c r="AA26" s="18"/>
      <c r="AB26" s="18"/>
      <c r="AC26" s="18"/>
      <c r="AD26" s="18"/>
      <c r="AE26" s="18"/>
      <c r="AF26" s="18"/>
      <c r="AG26" s="18"/>
      <c r="AH26" s="18"/>
      <c r="AI26" s="18"/>
      <c r="AJ26" s="19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20"/>
      <c r="BH26" s="20"/>
      <c r="BI26" s="16"/>
      <c r="BJ26" s="16"/>
      <c r="BK26" s="16"/>
      <c r="BL26" s="16"/>
      <c r="BM26" s="16"/>
      <c r="BN26" s="21"/>
      <c r="BO26" s="16"/>
      <c r="BP26" s="16"/>
      <c r="BQ26" s="16"/>
      <c r="BR26" s="16"/>
      <c r="BS26" s="16"/>
      <c r="BT26" s="16"/>
      <c r="BU26" s="20"/>
      <c r="BV26" s="20"/>
      <c r="BW26" s="20"/>
      <c r="BX26" s="16"/>
      <c r="BY26" s="16"/>
      <c r="BZ26" s="16"/>
      <c r="CA26" s="16"/>
      <c r="CB26" s="16"/>
      <c r="CC26" s="16"/>
      <c r="CD26" s="16"/>
      <c r="CE26" s="16"/>
      <c r="CF26" s="19"/>
      <c r="CG26" s="16"/>
      <c r="CH26" s="16"/>
      <c r="CI26" s="16"/>
      <c r="CJ26" s="16"/>
      <c r="CK26" s="16"/>
      <c r="CL26" s="16"/>
      <c r="CM26" s="16"/>
      <c r="CN26" s="22"/>
      <c r="CO26" s="18"/>
      <c r="CP26" s="18"/>
      <c r="CQ26" s="18"/>
      <c r="CR26" s="18"/>
      <c r="CS26" s="18"/>
      <c r="CT26" s="18"/>
      <c r="CU26" s="18"/>
      <c r="CV26" s="16"/>
      <c r="CW26" s="16"/>
      <c r="CX26" s="22">
        <f>ROUND(SUM(O26,Q26,S26,U26,W26,Y26,AA26,AC26,AE26,AG26,AI26,AK26,AM26,AO26,AQ26,AS26,AU26,AW26,AY26,BA26,BC26,BE26,BG26,BI26,BK26,BM26,BO26,BQ26,BS26,BU26,BW26,BY26,CA26,CC26,CE26,CG26,CI26,CK26,CM26,CO26,CQ26,CS26,CU26,CW26),2)</f>
        <v>1800</v>
      </c>
      <c r="CY26" s="19">
        <v>490.13</v>
      </c>
      <c r="CZ26" s="16">
        <f>ROUND(CY26*0.05,2)</f>
        <v>24.51</v>
      </c>
      <c r="DA26" s="16">
        <f>ROUND(CY26+CZ26,2)</f>
        <v>514.64</v>
      </c>
      <c r="DB26" s="23">
        <v>1</v>
      </c>
      <c r="DC26" s="26">
        <v>1800</v>
      </c>
      <c r="DD26" s="18"/>
      <c r="DE26" s="18"/>
      <c r="DF26" s="18"/>
      <c r="DG26" s="18"/>
      <c r="DH26" s="18"/>
      <c r="DI26" s="18"/>
      <c r="DJ26" s="25">
        <f>CX26</f>
        <v>1800</v>
      </c>
      <c r="DK26" s="25">
        <f t="array" ref="DK26">SUMPRODUCT(--(MOD(COLUMN(N26:CW26)-COLUMN(O26),2)=0), N26:CW26)</f>
        <v>1800</v>
      </c>
      <c r="DL26" s="20">
        <f t="shared" si="0"/>
        <v>1800</v>
      </c>
      <c r="DM26" s="23">
        <f t="shared" si="1"/>
        <v>0</v>
      </c>
      <c r="DN26" s="26">
        <f t="shared" si="2"/>
        <v>0</v>
      </c>
      <c r="DO26" s="26">
        <f t="shared" si="3"/>
        <v>0</v>
      </c>
      <c r="DP26" s="26">
        <f t="shared" si="4"/>
        <v>1800</v>
      </c>
      <c r="DQ26" s="26">
        <f t="shared" si="5"/>
        <v>0</v>
      </c>
      <c r="DR26" s="26">
        <f t="shared" si="6"/>
        <v>0</v>
      </c>
      <c r="DS26" s="26">
        <f t="shared" si="7"/>
        <v>0</v>
      </c>
      <c r="DT26" s="26">
        <f t="shared" si="8"/>
        <v>1800</v>
      </c>
      <c r="DU26" s="26">
        <f t="shared" si="9"/>
        <v>0</v>
      </c>
      <c r="DV26" s="27">
        <f>CY26</f>
        <v>490.13</v>
      </c>
      <c r="DW26" s="16">
        <f>CZ26</f>
        <v>24.51</v>
      </c>
      <c r="DX26" s="16">
        <f>DA26</f>
        <v>514.64</v>
      </c>
      <c r="DY26" s="19"/>
      <c r="DZ26" s="28"/>
      <c r="EA26" s="29"/>
      <c r="EE26" s="31"/>
      <c r="EF26" s="31"/>
      <c r="EG26" s="31"/>
      <c r="EH26" s="31"/>
      <c r="EI26" s="31"/>
    </row>
    <row r="27" spans="1:139" s="30" customFormat="1" ht="15" customHeight="1" x14ac:dyDescent="0.3">
      <c r="A27" s="9">
        <v>1329</v>
      </c>
      <c r="B27" s="10"/>
      <c r="C27" s="11" t="s">
        <v>205</v>
      </c>
      <c r="D27" s="12" t="s">
        <v>131</v>
      </c>
      <c r="E27" s="12"/>
      <c r="F27" s="12" t="s">
        <v>206</v>
      </c>
      <c r="G27" s="13" t="s">
        <v>171</v>
      </c>
      <c r="H27" s="14" t="s">
        <v>172</v>
      </c>
      <c r="I27" s="14" t="s">
        <v>173</v>
      </c>
      <c r="J27" s="13" t="s">
        <v>138</v>
      </c>
      <c r="K27" s="13" t="s">
        <v>139</v>
      </c>
      <c r="L27" s="13" t="s">
        <v>140</v>
      </c>
      <c r="M27" s="13" t="s">
        <v>140</v>
      </c>
      <c r="N27" s="15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7"/>
      <c r="AA27" s="18"/>
      <c r="AB27" s="18"/>
      <c r="AC27" s="18"/>
      <c r="AD27" s="18"/>
      <c r="AE27" s="18"/>
      <c r="AF27" s="18"/>
      <c r="AG27" s="18"/>
      <c r="AH27" s="18"/>
      <c r="AI27" s="18"/>
      <c r="AJ27" s="19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20"/>
      <c r="BH27" s="20"/>
      <c r="BI27" s="16"/>
      <c r="BJ27" s="16"/>
      <c r="BK27" s="16"/>
      <c r="BL27" s="16"/>
      <c r="BM27" s="16"/>
      <c r="BN27" s="21">
        <v>2</v>
      </c>
      <c r="BO27" s="16">
        <v>640</v>
      </c>
      <c r="BP27" s="16">
        <v>2</v>
      </c>
      <c r="BQ27" s="16">
        <v>2000</v>
      </c>
      <c r="BR27" s="16">
        <v>2</v>
      </c>
      <c r="BS27" s="16">
        <v>4000</v>
      </c>
      <c r="BT27" s="16"/>
      <c r="BU27" s="20"/>
      <c r="BV27" s="20"/>
      <c r="BW27" s="20"/>
      <c r="BX27" s="16"/>
      <c r="BY27" s="16"/>
      <c r="BZ27" s="16"/>
      <c r="CA27" s="16"/>
      <c r="CB27" s="16"/>
      <c r="CC27" s="16"/>
      <c r="CD27" s="16"/>
      <c r="CE27" s="16"/>
      <c r="CF27" s="19"/>
      <c r="CG27" s="16"/>
      <c r="CH27" s="16"/>
      <c r="CI27" s="16"/>
      <c r="CJ27" s="16"/>
      <c r="CK27" s="16"/>
      <c r="CL27" s="16"/>
      <c r="CM27" s="16"/>
      <c r="CN27" s="22"/>
      <c r="CO27" s="18"/>
      <c r="CP27" s="18"/>
      <c r="CQ27" s="18"/>
      <c r="CR27" s="18"/>
      <c r="CS27" s="18"/>
      <c r="CT27" s="18"/>
      <c r="CU27" s="18"/>
      <c r="CV27" s="16">
        <v>2</v>
      </c>
      <c r="CW27" s="16">
        <v>1500</v>
      </c>
      <c r="CX27" s="22">
        <f>ROUND(SUM(O27,Q27,S27,U27,W27,Y27,AA27,AC27,AE27,AG27,AI27,AK27,AM27,AO27,AQ27,AS27,AU27,AW27,AY27,BA27,BC27,BE27,BG27,BI27,BK27,BM27,BO27,BQ27,BS27,BU27,BW27,BY27,CA27,CC27,CE27,CG27,CI27,CK27,CM27,CO27,CQ27,CS27,CU27,CW27),2)</f>
        <v>8140</v>
      </c>
      <c r="CY27" s="19">
        <v>2216.4699999999998</v>
      </c>
      <c r="CZ27" s="16">
        <f>ROUND(CY27*0.05,2)</f>
        <v>110.82</v>
      </c>
      <c r="DA27" s="16">
        <f>ROUND(CY27+CZ27,2)</f>
        <v>2327.29</v>
      </c>
      <c r="DB27" s="23">
        <v>1</v>
      </c>
      <c r="DC27" s="26">
        <v>320</v>
      </c>
      <c r="DD27" s="18">
        <v>1</v>
      </c>
      <c r="DE27" s="18">
        <v>320</v>
      </c>
      <c r="DF27" s="18">
        <v>1</v>
      </c>
      <c r="DG27" s="18">
        <v>2000</v>
      </c>
      <c r="DH27" s="18">
        <v>1</v>
      </c>
      <c r="DI27" s="18">
        <v>5500</v>
      </c>
      <c r="DJ27" s="25">
        <f>CX27</f>
        <v>8140</v>
      </c>
      <c r="DK27" s="25">
        <f t="array" ref="DK27">SUMPRODUCT(--(MOD(COLUMN(N27:CW27)-COLUMN(O27),2)=0), N27:CW27)</f>
        <v>8140</v>
      </c>
      <c r="DL27" s="20">
        <f t="shared" si="0"/>
        <v>8140</v>
      </c>
      <c r="DM27" s="23">
        <f t="shared" si="1"/>
        <v>0</v>
      </c>
      <c r="DN27" s="26">
        <f t="shared" si="2"/>
        <v>0</v>
      </c>
      <c r="DO27" s="26">
        <f t="shared" si="3"/>
        <v>0</v>
      </c>
      <c r="DP27" s="26">
        <f t="shared" si="4"/>
        <v>320</v>
      </c>
      <c r="DQ27" s="26">
        <f t="shared" si="5"/>
        <v>320</v>
      </c>
      <c r="DR27" s="26">
        <f t="shared" si="6"/>
        <v>2000</v>
      </c>
      <c r="DS27" s="26">
        <f t="shared" si="7"/>
        <v>5500</v>
      </c>
      <c r="DT27" s="26">
        <f t="shared" si="8"/>
        <v>8140</v>
      </c>
      <c r="DU27" s="26">
        <f t="shared" si="9"/>
        <v>0</v>
      </c>
      <c r="DV27" s="27">
        <f>CY27</f>
        <v>2216.4699999999998</v>
      </c>
      <c r="DW27" s="16">
        <f>CZ27</f>
        <v>110.82</v>
      </c>
      <c r="DX27" s="16">
        <f>DA27</f>
        <v>2327.29</v>
      </c>
      <c r="DY27" s="19"/>
      <c r="DZ27" s="28"/>
      <c r="EA27" s="29"/>
      <c r="EE27" s="31"/>
      <c r="EF27" s="31"/>
      <c r="EG27" s="31"/>
      <c r="EH27" s="31"/>
      <c r="EI27" s="31"/>
    </row>
    <row r="28" spans="1:139" s="30" customFormat="1" ht="15" customHeight="1" x14ac:dyDescent="0.3">
      <c r="A28" s="9">
        <v>1330</v>
      </c>
      <c r="B28" s="10"/>
      <c r="C28" s="11" t="s">
        <v>207</v>
      </c>
      <c r="D28" s="12" t="s">
        <v>131</v>
      </c>
      <c r="E28" s="12"/>
      <c r="F28" s="12" t="s">
        <v>208</v>
      </c>
      <c r="G28" s="13" t="s">
        <v>171</v>
      </c>
      <c r="H28" s="14" t="s">
        <v>172</v>
      </c>
      <c r="I28" s="14" t="s">
        <v>173</v>
      </c>
      <c r="J28" s="13" t="s">
        <v>138</v>
      </c>
      <c r="K28" s="13" t="s">
        <v>139</v>
      </c>
      <c r="L28" s="13" t="s">
        <v>142</v>
      </c>
      <c r="M28" s="13" t="s">
        <v>143</v>
      </c>
      <c r="N28" s="15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7"/>
      <c r="AA28" s="18"/>
      <c r="AB28" s="18"/>
      <c r="AC28" s="18"/>
      <c r="AD28" s="18"/>
      <c r="AE28" s="18"/>
      <c r="AF28" s="18"/>
      <c r="AG28" s="18"/>
      <c r="AH28" s="18"/>
      <c r="AI28" s="18"/>
      <c r="AJ28" s="19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20"/>
      <c r="BH28" s="20"/>
      <c r="BI28" s="16"/>
      <c r="BJ28" s="16">
        <v>1</v>
      </c>
      <c r="BK28" s="16">
        <v>618.04999999999995</v>
      </c>
      <c r="BL28" s="16">
        <v>1</v>
      </c>
      <c r="BM28" s="16">
        <v>700</v>
      </c>
      <c r="BN28" s="21"/>
      <c r="BO28" s="16"/>
      <c r="BP28" s="16"/>
      <c r="BQ28" s="16"/>
      <c r="BR28" s="16"/>
      <c r="BS28" s="16"/>
      <c r="BT28" s="16"/>
      <c r="BU28" s="20"/>
      <c r="BV28" s="20"/>
      <c r="BW28" s="20"/>
      <c r="BX28" s="16"/>
      <c r="BY28" s="16"/>
      <c r="BZ28" s="16"/>
      <c r="CA28" s="16"/>
      <c r="CB28" s="16"/>
      <c r="CC28" s="16"/>
      <c r="CD28" s="16"/>
      <c r="CE28" s="16"/>
      <c r="CF28" s="19"/>
      <c r="CG28" s="16"/>
      <c r="CH28" s="16"/>
      <c r="CI28" s="16"/>
      <c r="CJ28" s="16"/>
      <c r="CK28" s="16"/>
      <c r="CL28" s="16"/>
      <c r="CM28" s="16"/>
      <c r="CN28" s="22"/>
      <c r="CO28" s="18"/>
      <c r="CP28" s="18"/>
      <c r="CQ28" s="18"/>
      <c r="CR28" s="18"/>
      <c r="CS28" s="18"/>
      <c r="CT28" s="18"/>
      <c r="CU28" s="18"/>
      <c r="CV28" s="16"/>
      <c r="CW28" s="16"/>
      <c r="CX28" s="22">
        <f>ROUND(SUM(O28,Q28,S28,U28,W28,Y28,AA28,AC28,AE28,AG28,AI28,AK28,AM28,AO28,AQ28,AS28,AU28,AW28,AY28,BA28,BC28,BE28,BG28,BI28,BK28,BM28,BO28,BQ28,BS28,BU28,BW28,BY28,CA28,CC28,CE28,CG28,CI28,CK28,CM28,CO28,CQ28,CS28,CU28,CW28),2)</f>
        <v>1318.05</v>
      </c>
      <c r="CY28" s="19">
        <v>358.9</v>
      </c>
      <c r="CZ28" s="16">
        <f>ROUND(CY28*0.05,2)</f>
        <v>17.95</v>
      </c>
      <c r="DA28" s="16">
        <f>ROUND(CY28+CZ28,2)</f>
        <v>376.85</v>
      </c>
      <c r="DB28" s="23">
        <v>1</v>
      </c>
      <c r="DC28" s="26">
        <v>618.04999999999995</v>
      </c>
      <c r="DD28" s="18">
        <v>1</v>
      </c>
      <c r="DE28" s="18">
        <v>700</v>
      </c>
      <c r="DF28" s="18"/>
      <c r="DG28" s="18"/>
      <c r="DH28" s="18"/>
      <c r="DI28" s="18"/>
      <c r="DJ28" s="25">
        <f>CX28</f>
        <v>1318.05</v>
      </c>
      <c r="DK28" s="25">
        <f t="array" ref="DK28">SUMPRODUCT(--(MOD(COLUMN(N28:CW28)-COLUMN(O28),2)=0), N28:CW28)</f>
        <v>1318.05</v>
      </c>
      <c r="DL28" s="20">
        <f t="shared" si="0"/>
        <v>1318.05</v>
      </c>
      <c r="DM28" s="23">
        <f t="shared" si="1"/>
        <v>0</v>
      </c>
      <c r="DN28" s="26">
        <f t="shared" si="2"/>
        <v>0</v>
      </c>
      <c r="DO28" s="26">
        <f t="shared" si="3"/>
        <v>0</v>
      </c>
      <c r="DP28" s="26">
        <f t="shared" si="4"/>
        <v>618.04999999999995</v>
      </c>
      <c r="DQ28" s="26">
        <f t="shared" si="5"/>
        <v>700</v>
      </c>
      <c r="DR28" s="26">
        <f t="shared" si="6"/>
        <v>0</v>
      </c>
      <c r="DS28" s="26">
        <f t="shared" si="7"/>
        <v>0</v>
      </c>
      <c r="DT28" s="26">
        <f t="shared" si="8"/>
        <v>1318.05</v>
      </c>
      <c r="DU28" s="26">
        <f t="shared" si="9"/>
        <v>0</v>
      </c>
      <c r="DV28" s="27">
        <f>CY28</f>
        <v>358.9</v>
      </c>
      <c r="DW28" s="16">
        <f>CZ28</f>
        <v>17.95</v>
      </c>
      <c r="DX28" s="16">
        <f>DA28</f>
        <v>376.85</v>
      </c>
      <c r="DY28" s="19"/>
      <c r="DZ28" s="28"/>
      <c r="EA28" s="29"/>
      <c r="EE28" s="31"/>
      <c r="EF28" s="31"/>
      <c r="EG28" s="31"/>
      <c r="EH28" s="31"/>
      <c r="EI28" s="31"/>
    </row>
    <row r="29" spans="1:139" s="30" customFormat="1" ht="15" customHeight="1" x14ac:dyDescent="0.3">
      <c r="A29" s="9">
        <v>1331</v>
      </c>
      <c r="B29" s="10"/>
      <c r="C29" s="11" t="s">
        <v>209</v>
      </c>
      <c r="D29" s="12" t="s">
        <v>131</v>
      </c>
      <c r="E29" s="12"/>
      <c r="F29" s="12" t="s">
        <v>210</v>
      </c>
      <c r="G29" s="13" t="s">
        <v>171</v>
      </c>
      <c r="H29" s="14" t="s">
        <v>172</v>
      </c>
      <c r="I29" s="14" t="s">
        <v>173</v>
      </c>
      <c r="J29" s="13" t="s">
        <v>138</v>
      </c>
      <c r="K29" s="13" t="s">
        <v>138</v>
      </c>
      <c r="L29" s="13" t="s">
        <v>145</v>
      </c>
      <c r="M29" s="13" t="s">
        <v>146</v>
      </c>
      <c r="N29" s="15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7"/>
      <c r="AA29" s="18"/>
      <c r="AB29" s="18"/>
      <c r="AC29" s="18"/>
      <c r="AD29" s="18"/>
      <c r="AE29" s="18"/>
      <c r="AF29" s="18"/>
      <c r="AG29" s="18"/>
      <c r="AH29" s="18"/>
      <c r="AI29" s="18"/>
      <c r="AJ29" s="19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20"/>
      <c r="BH29" s="20"/>
      <c r="BI29" s="16"/>
      <c r="BJ29" s="16"/>
      <c r="BK29" s="16"/>
      <c r="BL29" s="16"/>
      <c r="BM29" s="16"/>
      <c r="BN29" s="21"/>
      <c r="BO29" s="16"/>
      <c r="BP29" s="16"/>
      <c r="BQ29" s="16"/>
      <c r="BR29" s="16"/>
      <c r="BS29" s="16"/>
      <c r="BT29" s="16"/>
      <c r="BU29" s="20"/>
      <c r="BV29" s="20"/>
      <c r="BW29" s="20"/>
      <c r="BX29" s="16"/>
      <c r="BY29" s="16"/>
      <c r="BZ29" s="16"/>
      <c r="CA29" s="16"/>
      <c r="CB29" s="16"/>
      <c r="CC29" s="16"/>
      <c r="CD29" s="16">
        <v>217.2</v>
      </c>
      <c r="CE29" s="16">
        <v>3475.2</v>
      </c>
      <c r="CF29" s="19"/>
      <c r="CG29" s="16"/>
      <c r="CH29" s="16"/>
      <c r="CI29" s="16"/>
      <c r="CJ29" s="16"/>
      <c r="CK29" s="16"/>
      <c r="CL29" s="16"/>
      <c r="CM29" s="16"/>
      <c r="CN29" s="22"/>
      <c r="CO29" s="18"/>
      <c r="CP29" s="18"/>
      <c r="CQ29" s="18"/>
      <c r="CR29" s="18"/>
      <c r="CS29" s="18"/>
      <c r="CT29" s="18"/>
      <c r="CU29" s="18"/>
      <c r="CV29" s="16"/>
      <c r="CW29" s="16"/>
      <c r="CX29" s="22">
        <f>ROUND(SUM(O29,Q29,S29,U29,W29,Y29,AA29,AC29,AE29,AG29,AI29,AK29,AM29,AO29,AQ29,AS29,AU29,AW29,AY29,BA29,BC29,BE29,BG29,BI29,BK29,BM29,BO29,BQ29,BS29,BU29,BW29,BY29,CA29,CC29,CE29,CG29,CI29,CK29,CM29,CO29,CQ29,CS29,CU29,CW29),2)</f>
        <v>3475.2</v>
      </c>
      <c r="CY29" s="19">
        <v>946.28</v>
      </c>
      <c r="CZ29" s="16">
        <f>ROUND(CY29*0.05,2)</f>
        <v>47.31</v>
      </c>
      <c r="DA29" s="16">
        <f>ROUND(CY29+CZ29,2)</f>
        <v>993.59</v>
      </c>
      <c r="DB29" s="23">
        <v>217.2</v>
      </c>
      <c r="DC29" s="26">
        <v>16</v>
      </c>
      <c r="DD29" s="18"/>
      <c r="DE29" s="18"/>
      <c r="DF29" s="18"/>
      <c r="DG29" s="18"/>
      <c r="DH29" s="18"/>
      <c r="DI29" s="18"/>
      <c r="DJ29" s="25">
        <f>CX29</f>
        <v>3475.2</v>
      </c>
      <c r="DK29" s="25">
        <f t="array" ref="DK29">SUMPRODUCT(--(MOD(COLUMN(N29:CW29)-COLUMN(O29),2)=0), N29:CW29)</f>
        <v>3475.2</v>
      </c>
      <c r="DL29" s="20">
        <f t="shared" si="0"/>
        <v>3475.2</v>
      </c>
      <c r="DM29" s="23">
        <f t="shared" si="1"/>
        <v>0</v>
      </c>
      <c r="DN29" s="26">
        <f t="shared" si="2"/>
        <v>0</v>
      </c>
      <c r="DO29" s="26">
        <f t="shared" si="3"/>
        <v>0</v>
      </c>
      <c r="DP29" s="26">
        <f t="shared" si="4"/>
        <v>3475.2</v>
      </c>
      <c r="DQ29" s="26">
        <f t="shared" si="5"/>
        <v>0</v>
      </c>
      <c r="DR29" s="26">
        <f t="shared" si="6"/>
        <v>0</v>
      </c>
      <c r="DS29" s="26">
        <f t="shared" si="7"/>
        <v>0</v>
      </c>
      <c r="DT29" s="26">
        <f t="shared" si="8"/>
        <v>3475.2</v>
      </c>
      <c r="DU29" s="26">
        <f t="shared" si="9"/>
        <v>0</v>
      </c>
      <c r="DV29" s="27">
        <f>CY29</f>
        <v>946.28</v>
      </c>
      <c r="DW29" s="16">
        <f>CZ29</f>
        <v>47.31</v>
      </c>
      <c r="DX29" s="16">
        <f>DA29</f>
        <v>993.59</v>
      </c>
      <c r="DY29" s="19"/>
      <c r="DZ29" s="28"/>
      <c r="EA29" s="29"/>
      <c r="EE29" s="31"/>
      <c r="EF29" s="31"/>
      <c r="EG29" s="31"/>
      <c r="EH29" s="31"/>
      <c r="EI29" s="31"/>
    </row>
    <row r="30" spans="1:139" s="30" customFormat="1" ht="15" customHeight="1" x14ac:dyDescent="0.3">
      <c r="A30" s="9">
        <v>1332</v>
      </c>
      <c r="B30" s="10"/>
      <c r="C30" s="11" t="s">
        <v>211</v>
      </c>
      <c r="D30" s="12" t="s">
        <v>131</v>
      </c>
      <c r="E30" s="12"/>
      <c r="F30" s="12" t="s">
        <v>212</v>
      </c>
      <c r="G30" s="13" t="s">
        <v>171</v>
      </c>
      <c r="H30" s="14" t="s">
        <v>172</v>
      </c>
      <c r="I30" s="14" t="s">
        <v>173</v>
      </c>
      <c r="J30" s="13" t="s">
        <v>138</v>
      </c>
      <c r="K30" s="13" t="s">
        <v>138</v>
      </c>
      <c r="L30" s="13" t="s">
        <v>213</v>
      </c>
      <c r="M30" s="13" t="s">
        <v>214</v>
      </c>
      <c r="N30" s="15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7"/>
      <c r="AA30" s="18"/>
      <c r="AB30" s="18">
        <v>3</v>
      </c>
      <c r="AC30" s="18">
        <v>1020</v>
      </c>
      <c r="AD30" s="18"/>
      <c r="AE30" s="18"/>
      <c r="AF30" s="18"/>
      <c r="AG30" s="18"/>
      <c r="AH30" s="18"/>
      <c r="AI30" s="18"/>
      <c r="AJ30" s="19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20"/>
      <c r="BH30" s="20"/>
      <c r="BI30" s="16"/>
      <c r="BJ30" s="16"/>
      <c r="BK30" s="16"/>
      <c r="BL30" s="16"/>
      <c r="BM30" s="16"/>
      <c r="BN30" s="21"/>
      <c r="BO30" s="16"/>
      <c r="BP30" s="16"/>
      <c r="BQ30" s="16"/>
      <c r="BR30" s="16"/>
      <c r="BS30" s="16"/>
      <c r="BT30" s="16"/>
      <c r="BU30" s="20"/>
      <c r="BV30" s="20"/>
      <c r="BW30" s="20"/>
      <c r="BX30" s="16"/>
      <c r="BY30" s="16"/>
      <c r="BZ30" s="16"/>
      <c r="CA30" s="16"/>
      <c r="CB30" s="16"/>
      <c r="CC30" s="16"/>
      <c r="CD30" s="16"/>
      <c r="CE30" s="16"/>
      <c r="CF30" s="19">
        <v>18</v>
      </c>
      <c r="CG30" s="16">
        <v>810</v>
      </c>
      <c r="CH30" s="16"/>
      <c r="CI30" s="16"/>
      <c r="CJ30" s="16">
        <v>3</v>
      </c>
      <c r="CK30" s="16">
        <v>150</v>
      </c>
      <c r="CL30" s="16"/>
      <c r="CM30" s="16"/>
      <c r="CN30" s="22"/>
      <c r="CO30" s="18"/>
      <c r="CP30" s="18"/>
      <c r="CQ30" s="18"/>
      <c r="CR30" s="18"/>
      <c r="CS30" s="18"/>
      <c r="CT30" s="18">
        <v>4</v>
      </c>
      <c r="CU30" s="18">
        <v>1150</v>
      </c>
      <c r="CV30" s="16">
        <v>2</v>
      </c>
      <c r="CW30" s="16">
        <v>1150</v>
      </c>
      <c r="CX30" s="22">
        <f>ROUND(SUM(O30,Q30,S30,U30,W30,Y30,AA30,AC30,AE30,AG30,AI30,AK30,AM30,AO30,AQ30,AS30,AU30,AW30,AY30,BA30,BC30,BE30,BG30,BI30,BK30,BM30,BO30,BQ30,BS30,BU30,BW30,BY30,CA30,CC30,CE30,CG30,CI30,CK30,CM30,CO30,CQ30,CS30,CU30,CW30),2)</f>
        <v>4280</v>
      </c>
      <c r="CY30" s="19">
        <v>1165.42</v>
      </c>
      <c r="CZ30" s="16">
        <f>ROUND(CY30*0.05,2)</f>
        <v>58.27</v>
      </c>
      <c r="DA30" s="16">
        <f>ROUND(CY30+CZ30,2)</f>
        <v>1223.69</v>
      </c>
      <c r="DB30" s="23">
        <v>2</v>
      </c>
      <c r="DC30" s="26">
        <v>575</v>
      </c>
      <c r="DD30" s="18">
        <v>3</v>
      </c>
      <c r="DE30" s="18">
        <v>340</v>
      </c>
      <c r="DF30" s="18">
        <v>1</v>
      </c>
      <c r="DG30" s="18">
        <v>50</v>
      </c>
      <c r="DH30" s="18">
        <v>1</v>
      </c>
      <c r="DI30" s="18">
        <v>2060</v>
      </c>
      <c r="DJ30" s="25">
        <f>CX30</f>
        <v>4280</v>
      </c>
      <c r="DK30" s="25">
        <f t="array" ref="DK30">SUMPRODUCT(--(MOD(COLUMN(N30:CW30)-COLUMN(O30),2)=0), N30:CW30)</f>
        <v>4280</v>
      </c>
      <c r="DL30" s="20">
        <f t="shared" si="0"/>
        <v>4280</v>
      </c>
      <c r="DM30" s="23">
        <f t="shared" si="1"/>
        <v>0</v>
      </c>
      <c r="DN30" s="26">
        <f t="shared" si="2"/>
        <v>0</v>
      </c>
      <c r="DO30" s="26">
        <f t="shared" si="3"/>
        <v>0</v>
      </c>
      <c r="DP30" s="26">
        <f t="shared" si="4"/>
        <v>1150</v>
      </c>
      <c r="DQ30" s="26">
        <f t="shared" si="5"/>
        <v>1020</v>
      </c>
      <c r="DR30" s="26">
        <f t="shared" si="6"/>
        <v>50</v>
      </c>
      <c r="DS30" s="26">
        <f t="shared" si="7"/>
        <v>2060</v>
      </c>
      <c r="DT30" s="26">
        <f t="shared" si="8"/>
        <v>4280</v>
      </c>
      <c r="DU30" s="26">
        <f t="shared" si="9"/>
        <v>0</v>
      </c>
      <c r="DV30" s="27">
        <f>CY30</f>
        <v>1165.42</v>
      </c>
      <c r="DW30" s="16">
        <f>CZ30</f>
        <v>58.27</v>
      </c>
      <c r="DX30" s="16">
        <f>DA30</f>
        <v>1223.69</v>
      </c>
      <c r="DY30" s="19"/>
      <c r="DZ30" s="28"/>
      <c r="EA30" s="29"/>
      <c r="EE30" s="31"/>
      <c r="EF30" s="31"/>
      <c r="EG30" s="31"/>
      <c r="EH30" s="31"/>
      <c r="EI30" s="31"/>
    </row>
    <row r="31" spans="1:139" s="30" customFormat="1" ht="15" customHeight="1" x14ac:dyDescent="0.3">
      <c r="A31" s="9">
        <v>1333</v>
      </c>
      <c r="B31" s="10"/>
      <c r="C31" s="11" t="s">
        <v>215</v>
      </c>
      <c r="D31" s="12" t="s">
        <v>131</v>
      </c>
      <c r="E31" s="12"/>
      <c r="F31" s="12" t="s">
        <v>216</v>
      </c>
      <c r="G31" s="13" t="s">
        <v>190</v>
      </c>
      <c r="H31" s="14" t="s">
        <v>172</v>
      </c>
      <c r="I31" s="14" t="s">
        <v>173</v>
      </c>
      <c r="J31" s="13" t="s">
        <v>134</v>
      </c>
      <c r="K31" s="13" t="s">
        <v>134</v>
      </c>
      <c r="L31" s="13" t="s">
        <v>159</v>
      </c>
      <c r="M31" s="13" t="s">
        <v>160</v>
      </c>
      <c r="N31" s="15"/>
      <c r="O31" s="16"/>
      <c r="P31" s="16"/>
      <c r="Q31" s="16"/>
      <c r="R31" s="16"/>
      <c r="S31" s="16"/>
      <c r="T31" s="16"/>
      <c r="U31" s="16"/>
      <c r="V31" s="16"/>
      <c r="W31" s="16"/>
      <c r="X31" s="16">
        <v>0.1</v>
      </c>
      <c r="Y31" s="16">
        <v>1721.34</v>
      </c>
      <c r="Z31" s="17"/>
      <c r="AA31" s="18"/>
      <c r="AB31" s="18"/>
      <c r="AC31" s="18"/>
      <c r="AD31" s="18"/>
      <c r="AE31" s="18"/>
      <c r="AF31" s="18"/>
      <c r="AG31" s="18"/>
      <c r="AH31" s="18"/>
      <c r="AI31" s="18"/>
      <c r="AJ31" s="19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20"/>
      <c r="BH31" s="20"/>
      <c r="BI31" s="16"/>
      <c r="BJ31" s="16"/>
      <c r="BK31" s="16"/>
      <c r="BL31" s="16"/>
      <c r="BM31" s="16"/>
      <c r="BN31" s="21"/>
      <c r="BO31" s="16"/>
      <c r="BP31" s="16"/>
      <c r="BQ31" s="16"/>
      <c r="BR31" s="16"/>
      <c r="BS31" s="16"/>
      <c r="BT31" s="16"/>
      <c r="BU31" s="20"/>
      <c r="BV31" s="20"/>
      <c r="BW31" s="20"/>
      <c r="BX31" s="16"/>
      <c r="BY31" s="16"/>
      <c r="BZ31" s="16"/>
      <c r="CA31" s="16"/>
      <c r="CB31" s="16"/>
      <c r="CC31" s="16"/>
      <c r="CD31" s="16"/>
      <c r="CE31" s="16"/>
      <c r="CF31" s="19"/>
      <c r="CG31" s="16"/>
      <c r="CH31" s="16"/>
      <c r="CI31" s="16"/>
      <c r="CJ31" s="16"/>
      <c r="CK31" s="16"/>
      <c r="CL31" s="16"/>
      <c r="CM31" s="16"/>
      <c r="CN31" s="22"/>
      <c r="CO31" s="18"/>
      <c r="CP31" s="18"/>
      <c r="CQ31" s="18"/>
      <c r="CR31" s="18"/>
      <c r="CS31" s="18"/>
      <c r="CT31" s="18"/>
      <c r="CU31" s="18"/>
      <c r="CV31" s="16"/>
      <c r="CW31" s="16"/>
      <c r="CX31" s="22">
        <f>ROUND(SUM(O31,Q31,S31,U31,W31,Y31,AA31,AC31,AE31,AG31,AI31,AK31,AM31,AO31,AQ31,AS31,AU31,AW31,AY31,BA31,BC31,BE31,BG31,BI31,BK31,BM31,BO31,BQ31,BS31,BU31,BW31,BY31,CA31,CC31,CE31,CG31,CI31,CK31,CM31,CO31,CQ31,CS31,CU31,CW31),2)</f>
        <v>1721.34</v>
      </c>
      <c r="CY31" s="19">
        <v>468.71</v>
      </c>
      <c r="CZ31" s="16">
        <f>ROUND(CY31*0.05,2)</f>
        <v>23.44</v>
      </c>
      <c r="DA31" s="16">
        <f>ROUND(CY31+CZ31,2)</f>
        <v>492.15</v>
      </c>
      <c r="DB31" s="23">
        <v>1</v>
      </c>
      <c r="DC31" s="26">
        <v>1721.34</v>
      </c>
      <c r="DD31" s="18"/>
      <c r="DE31" s="18"/>
      <c r="DF31" s="18"/>
      <c r="DG31" s="18"/>
      <c r="DH31" s="18"/>
      <c r="DI31" s="18"/>
      <c r="DJ31" s="25">
        <f>CX31</f>
        <v>1721.34</v>
      </c>
      <c r="DK31" s="25">
        <f t="array" ref="DK31">SUMPRODUCT(--(MOD(COLUMN(N31:CW31)-COLUMN(O31),2)=0), N31:CW31)</f>
        <v>1721.34</v>
      </c>
      <c r="DL31" s="20">
        <f t="shared" si="0"/>
        <v>1721.34</v>
      </c>
      <c r="DM31" s="23">
        <f t="shared" si="1"/>
        <v>0</v>
      </c>
      <c r="DN31" s="26">
        <f t="shared" si="2"/>
        <v>0</v>
      </c>
      <c r="DO31" s="26">
        <f t="shared" si="3"/>
        <v>0</v>
      </c>
      <c r="DP31" s="26">
        <f t="shared" si="4"/>
        <v>1721.34</v>
      </c>
      <c r="DQ31" s="26">
        <f t="shared" si="5"/>
        <v>0</v>
      </c>
      <c r="DR31" s="26">
        <f t="shared" si="6"/>
        <v>0</v>
      </c>
      <c r="DS31" s="26">
        <f t="shared" si="7"/>
        <v>0</v>
      </c>
      <c r="DT31" s="26">
        <f t="shared" si="8"/>
        <v>1721.34</v>
      </c>
      <c r="DU31" s="26">
        <f t="shared" si="9"/>
        <v>0</v>
      </c>
      <c r="DV31" s="27">
        <f>CY31</f>
        <v>468.71</v>
      </c>
      <c r="DW31" s="16">
        <f>CZ31</f>
        <v>23.44</v>
      </c>
      <c r="DX31" s="16">
        <f>DA31</f>
        <v>492.15</v>
      </c>
      <c r="DY31" s="19"/>
      <c r="DZ31" s="28"/>
      <c r="EA31" s="29"/>
      <c r="EE31" s="31"/>
      <c r="EF31" s="31"/>
      <c r="EG31" s="31"/>
      <c r="EH31" s="31"/>
      <c r="EI31" s="31"/>
    </row>
    <row r="32" spans="1:139" s="30" customFormat="1" ht="15" customHeight="1" x14ac:dyDescent="0.3">
      <c r="A32" s="9">
        <v>1334</v>
      </c>
      <c r="B32" s="10"/>
      <c r="C32" s="11" t="s">
        <v>217</v>
      </c>
      <c r="D32" s="12" t="s">
        <v>131</v>
      </c>
      <c r="E32" s="12"/>
      <c r="F32" s="12" t="s">
        <v>161</v>
      </c>
      <c r="G32" s="13" t="s">
        <v>171</v>
      </c>
      <c r="H32" s="14" t="s">
        <v>172</v>
      </c>
      <c r="I32" s="14" t="s">
        <v>173</v>
      </c>
      <c r="J32" s="13" t="s">
        <v>134</v>
      </c>
      <c r="K32" s="13" t="s">
        <v>134</v>
      </c>
      <c r="L32" s="13" t="s">
        <v>195</v>
      </c>
      <c r="M32" s="13" t="s">
        <v>162</v>
      </c>
      <c r="N32" s="15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7"/>
      <c r="AA32" s="18"/>
      <c r="AB32" s="18"/>
      <c r="AC32" s="18"/>
      <c r="AD32" s="18"/>
      <c r="AE32" s="18"/>
      <c r="AF32" s="18"/>
      <c r="AG32" s="18"/>
      <c r="AH32" s="18"/>
      <c r="AI32" s="18"/>
      <c r="AJ32" s="19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20"/>
      <c r="BH32" s="20"/>
      <c r="BI32" s="16"/>
      <c r="BJ32" s="16"/>
      <c r="BK32" s="16"/>
      <c r="BL32" s="16"/>
      <c r="BM32" s="16"/>
      <c r="BN32" s="21"/>
      <c r="BO32" s="16"/>
      <c r="BP32" s="16"/>
      <c r="BQ32" s="16"/>
      <c r="BR32" s="16"/>
      <c r="BS32" s="16"/>
      <c r="BT32" s="16"/>
      <c r="BU32" s="20"/>
      <c r="BV32" s="20"/>
      <c r="BW32" s="20"/>
      <c r="BX32" s="16"/>
      <c r="BY32" s="16"/>
      <c r="BZ32" s="16"/>
      <c r="CA32" s="16"/>
      <c r="CB32" s="16"/>
      <c r="CC32" s="16"/>
      <c r="CD32" s="16"/>
      <c r="CE32" s="16"/>
      <c r="CF32" s="19"/>
      <c r="CG32" s="16"/>
      <c r="CH32" s="16"/>
      <c r="CI32" s="16"/>
      <c r="CJ32" s="16"/>
      <c r="CK32" s="16"/>
      <c r="CL32" s="16"/>
      <c r="CM32" s="16"/>
      <c r="CN32" s="22"/>
      <c r="CO32" s="18"/>
      <c r="CP32" s="18"/>
      <c r="CQ32" s="18"/>
      <c r="CR32" s="18"/>
      <c r="CS32" s="18"/>
      <c r="CT32" s="18"/>
      <c r="CU32" s="18"/>
      <c r="CV32" s="16">
        <v>1</v>
      </c>
      <c r="CW32" s="16">
        <v>200</v>
      </c>
      <c r="CX32" s="22">
        <f>ROUND(SUM(O32,Q32,S32,U32,W32,Y32,AA32,AC32,AE32,AG32,AI32,AK32,AM32,AO32,AQ32,AS32,AU32,AW32,AY32,BA32,BC32,BE32,BG32,BI32,BK32,BM32,BO32,BQ32,BS32,BU32,BW32,BY32,CA32,CC32,CE32,CG32,CI32,CK32,CM32,CO32,CQ32,CS32,CU32,CW32),2)</f>
        <v>200</v>
      </c>
      <c r="CY32" s="19">
        <v>54.46</v>
      </c>
      <c r="CZ32" s="16">
        <f>ROUND(CY32*0.05,2)</f>
        <v>2.72</v>
      </c>
      <c r="DA32" s="16">
        <f>ROUND(CY32+CZ32,2)</f>
        <v>57.18</v>
      </c>
      <c r="DB32" s="23">
        <v>1</v>
      </c>
      <c r="DC32" s="26">
        <v>200</v>
      </c>
      <c r="DD32" s="18"/>
      <c r="DE32" s="18"/>
      <c r="DF32" s="18"/>
      <c r="DG32" s="18"/>
      <c r="DH32" s="18"/>
      <c r="DI32" s="18"/>
      <c r="DJ32" s="25">
        <f>CX32</f>
        <v>200</v>
      </c>
      <c r="DK32" s="25">
        <f t="array" ref="DK32">SUMPRODUCT(--(MOD(COLUMN(N32:CW32)-COLUMN(O32),2)=0), N32:CW32)</f>
        <v>200</v>
      </c>
      <c r="DL32" s="20">
        <f t="shared" si="0"/>
        <v>200</v>
      </c>
      <c r="DM32" s="23">
        <f t="shared" si="1"/>
        <v>0</v>
      </c>
      <c r="DN32" s="26">
        <f t="shared" si="2"/>
        <v>0</v>
      </c>
      <c r="DO32" s="26">
        <f t="shared" si="3"/>
        <v>0</v>
      </c>
      <c r="DP32" s="26">
        <f t="shared" si="4"/>
        <v>200</v>
      </c>
      <c r="DQ32" s="26">
        <f t="shared" si="5"/>
        <v>0</v>
      </c>
      <c r="DR32" s="26">
        <f t="shared" si="6"/>
        <v>0</v>
      </c>
      <c r="DS32" s="26">
        <f t="shared" si="7"/>
        <v>0</v>
      </c>
      <c r="DT32" s="26">
        <f t="shared" si="8"/>
        <v>200</v>
      </c>
      <c r="DU32" s="26">
        <f t="shared" si="9"/>
        <v>0</v>
      </c>
      <c r="DV32" s="27">
        <f>CY32</f>
        <v>54.46</v>
      </c>
      <c r="DW32" s="16">
        <f>CZ32</f>
        <v>2.72</v>
      </c>
      <c r="DX32" s="16">
        <f>DA32</f>
        <v>57.18</v>
      </c>
      <c r="DY32" s="19"/>
      <c r="DZ32" s="28"/>
      <c r="EA32" s="29"/>
      <c r="EE32" s="31"/>
      <c r="EF32" s="31"/>
      <c r="EG32" s="31"/>
      <c r="EH32" s="31"/>
      <c r="EI32" s="31"/>
    </row>
    <row r="33" spans="1:139" s="30" customFormat="1" ht="15" customHeight="1" x14ac:dyDescent="0.3">
      <c r="A33" s="9">
        <v>1335</v>
      </c>
      <c r="B33" s="10"/>
      <c r="C33" s="11" t="s">
        <v>218</v>
      </c>
      <c r="D33" s="12" t="s">
        <v>131</v>
      </c>
      <c r="E33" s="12"/>
      <c r="F33" s="12" t="s">
        <v>219</v>
      </c>
      <c r="G33" s="13" t="s">
        <v>190</v>
      </c>
      <c r="H33" s="14" t="s">
        <v>172</v>
      </c>
      <c r="I33" s="14" t="s">
        <v>173</v>
      </c>
      <c r="J33" s="13" t="s">
        <v>134</v>
      </c>
      <c r="K33" s="13" t="s">
        <v>134</v>
      </c>
      <c r="L33" s="13" t="s">
        <v>200</v>
      </c>
      <c r="M33" s="13" t="s">
        <v>201</v>
      </c>
      <c r="N33" s="15">
        <v>1</v>
      </c>
      <c r="O33" s="16">
        <v>500.01</v>
      </c>
      <c r="P33" s="16"/>
      <c r="Q33" s="16"/>
      <c r="R33" s="16"/>
      <c r="S33" s="32"/>
      <c r="T33" s="16"/>
      <c r="U33" s="16"/>
      <c r="V33" s="16"/>
      <c r="W33" s="16"/>
      <c r="X33" s="16"/>
      <c r="Y33" s="16"/>
      <c r="Z33" s="17"/>
      <c r="AA33" s="18"/>
      <c r="AB33" s="18"/>
      <c r="AC33" s="18"/>
      <c r="AD33" s="18"/>
      <c r="AE33" s="18"/>
      <c r="AF33" s="18"/>
      <c r="AG33" s="18"/>
      <c r="AH33" s="18"/>
      <c r="AI33" s="18"/>
      <c r="AJ33" s="19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20"/>
      <c r="BH33" s="20"/>
      <c r="BI33" s="16"/>
      <c r="BJ33" s="16"/>
      <c r="BK33" s="16"/>
      <c r="BL33" s="16"/>
      <c r="BM33" s="16"/>
      <c r="BN33" s="21"/>
      <c r="BO33" s="16"/>
      <c r="BP33" s="16"/>
      <c r="BQ33" s="16"/>
      <c r="BR33" s="16"/>
      <c r="BS33" s="16"/>
      <c r="BT33" s="16"/>
      <c r="BU33" s="20"/>
      <c r="BV33" s="20"/>
      <c r="BW33" s="20"/>
      <c r="BX33" s="16"/>
      <c r="BY33" s="16"/>
      <c r="BZ33" s="16"/>
      <c r="CA33" s="16"/>
      <c r="CB33" s="16"/>
      <c r="CC33" s="16"/>
      <c r="CD33" s="16"/>
      <c r="CE33" s="16"/>
      <c r="CF33" s="19"/>
      <c r="CG33" s="16"/>
      <c r="CH33" s="16"/>
      <c r="CI33" s="16"/>
      <c r="CJ33" s="16"/>
      <c r="CK33" s="16"/>
      <c r="CL33" s="16"/>
      <c r="CM33" s="16"/>
      <c r="CN33" s="22"/>
      <c r="CO33" s="18"/>
      <c r="CP33" s="18"/>
      <c r="CQ33" s="18"/>
      <c r="CR33" s="18"/>
      <c r="CS33" s="18"/>
      <c r="CT33" s="18"/>
      <c r="CU33" s="18"/>
      <c r="CV33" s="16"/>
      <c r="CW33" s="16"/>
      <c r="CX33" s="22">
        <f>ROUND(SUM(O33,Q33,S33,U33,W33,Y33,AA33,AC33,AE33,AG33,AI33,AK33,AM33,AO33,AQ33,AS33,AU33,AW33,AY33,BA33,BC33,BE33,BG33,BI33,BK33,BM33,BO33,BQ33,BS33,BU33,BW33,BY33,CA33,CC33,CE33,CG33,CI33,CK33,CM33,CO33,CQ33,CS33,CU33,CW33),2)</f>
        <v>500.01</v>
      </c>
      <c r="CY33" s="19">
        <v>136.15</v>
      </c>
      <c r="CZ33" s="16">
        <f>ROUND(CY33*0.05,2)</f>
        <v>6.81</v>
      </c>
      <c r="DA33" s="16">
        <f>ROUND(CY33+CZ33,2)</f>
        <v>142.96</v>
      </c>
      <c r="DB33" s="23">
        <v>1</v>
      </c>
      <c r="DC33" s="26">
        <v>500.01</v>
      </c>
      <c r="DD33" s="18"/>
      <c r="DE33" s="18"/>
      <c r="DF33" s="18"/>
      <c r="DG33" s="18"/>
      <c r="DH33" s="18"/>
      <c r="DI33" s="18"/>
      <c r="DJ33" s="25">
        <f>CX33</f>
        <v>500.01</v>
      </c>
      <c r="DK33" s="25">
        <f t="array" ref="DK33">SUMPRODUCT(--(MOD(COLUMN(N33:CW33)-COLUMN(O33),2)=0), N33:CW33)</f>
        <v>500.01</v>
      </c>
      <c r="DL33" s="20">
        <f t="shared" si="0"/>
        <v>500.01</v>
      </c>
      <c r="DM33" s="23">
        <f t="shared" si="1"/>
        <v>0</v>
      </c>
      <c r="DN33" s="26">
        <f t="shared" si="2"/>
        <v>0</v>
      </c>
      <c r="DO33" s="26">
        <f t="shared" si="3"/>
        <v>0</v>
      </c>
      <c r="DP33" s="26">
        <f t="shared" si="4"/>
        <v>500.01</v>
      </c>
      <c r="DQ33" s="26">
        <f t="shared" si="5"/>
        <v>0</v>
      </c>
      <c r="DR33" s="26">
        <f t="shared" si="6"/>
        <v>0</v>
      </c>
      <c r="DS33" s="26">
        <f t="shared" si="7"/>
        <v>0</v>
      </c>
      <c r="DT33" s="26">
        <f t="shared" si="8"/>
        <v>500.01</v>
      </c>
      <c r="DU33" s="26">
        <f t="shared" si="9"/>
        <v>0</v>
      </c>
      <c r="DV33" s="27">
        <f>CY33</f>
        <v>136.15</v>
      </c>
      <c r="DW33" s="16">
        <f>CZ33</f>
        <v>6.81</v>
      </c>
      <c r="DX33" s="16">
        <f>DA33</f>
        <v>142.96</v>
      </c>
      <c r="DY33" s="19"/>
      <c r="DZ33" s="28"/>
      <c r="EA33" s="29"/>
      <c r="EE33" s="31"/>
      <c r="EF33" s="31"/>
      <c r="EG33" s="31"/>
      <c r="EH33" s="31"/>
      <c r="EI33" s="31"/>
    </row>
    <row r="34" spans="1:139" s="30" customFormat="1" ht="15" customHeight="1" x14ac:dyDescent="0.3">
      <c r="A34" s="9">
        <v>1336</v>
      </c>
      <c r="B34" s="10"/>
      <c r="C34" s="11" t="s">
        <v>220</v>
      </c>
      <c r="D34" s="12" t="s">
        <v>131</v>
      </c>
      <c r="E34" s="12"/>
      <c r="F34" s="12" t="s">
        <v>166</v>
      </c>
      <c r="G34" s="13" t="s">
        <v>171</v>
      </c>
      <c r="H34" s="14" t="s">
        <v>172</v>
      </c>
      <c r="I34" s="14" t="s">
        <v>173</v>
      </c>
      <c r="J34" s="13" t="s">
        <v>134</v>
      </c>
      <c r="K34" s="13" t="s">
        <v>134</v>
      </c>
      <c r="L34" s="13" t="s">
        <v>167</v>
      </c>
      <c r="M34" s="13" t="s">
        <v>168</v>
      </c>
      <c r="N34" s="15"/>
      <c r="O34" s="16"/>
      <c r="P34" s="16"/>
      <c r="Q34" s="16"/>
      <c r="R34" s="16"/>
      <c r="S34" s="32"/>
      <c r="T34" s="16">
        <v>2</v>
      </c>
      <c r="U34" s="16">
        <v>299.97000000000003</v>
      </c>
      <c r="V34" s="16"/>
      <c r="W34" s="16"/>
      <c r="X34" s="16"/>
      <c r="Y34" s="16"/>
      <c r="Z34" s="17"/>
      <c r="AA34" s="18"/>
      <c r="AB34" s="18"/>
      <c r="AC34" s="18"/>
      <c r="AD34" s="18"/>
      <c r="AE34" s="18"/>
      <c r="AF34" s="18"/>
      <c r="AG34" s="18"/>
      <c r="AH34" s="18"/>
      <c r="AI34" s="18"/>
      <c r="AJ34" s="19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20"/>
      <c r="BH34" s="20"/>
      <c r="BI34" s="16"/>
      <c r="BJ34" s="16"/>
      <c r="BK34" s="16"/>
      <c r="BL34" s="16"/>
      <c r="BM34" s="16"/>
      <c r="BN34" s="21"/>
      <c r="BO34" s="16"/>
      <c r="BP34" s="16"/>
      <c r="BQ34" s="16"/>
      <c r="BR34" s="16"/>
      <c r="BS34" s="16"/>
      <c r="BT34" s="16"/>
      <c r="BU34" s="20"/>
      <c r="BV34" s="20"/>
      <c r="BW34" s="20"/>
      <c r="BX34" s="16"/>
      <c r="BY34" s="16"/>
      <c r="BZ34" s="16"/>
      <c r="CA34" s="16"/>
      <c r="CB34" s="16"/>
      <c r="CC34" s="16"/>
      <c r="CD34" s="16"/>
      <c r="CE34" s="16"/>
      <c r="CF34" s="19"/>
      <c r="CG34" s="16"/>
      <c r="CH34" s="16"/>
      <c r="CI34" s="16"/>
      <c r="CJ34" s="16"/>
      <c r="CK34" s="16"/>
      <c r="CL34" s="16"/>
      <c r="CM34" s="16"/>
      <c r="CN34" s="22"/>
      <c r="CO34" s="18"/>
      <c r="CP34" s="18"/>
      <c r="CQ34" s="18"/>
      <c r="CR34" s="18"/>
      <c r="CS34" s="18"/>
      <c r="CT34" s="18"/>
      <c r="CU34" s="18"/>
      <c r="CV34" s="16"/>
      <c r="CW34" s="16"/>
      <c r="CX34" s="22">
        <f>ROUND(SUM(O34,Q34,S34,U34,W34,Y34,AA34,AC34,AE34,AG34,AI34,AK34,AM34,AO34,AQ34,AS34,AU34,AW34,AY34,BA34,BC34,BE34,BG34,BI34,BK34,BM34,BO34,BQ34,BS34,BU34,BW34,BY34,CA34,CC34,CE34,CG34,CI34,CK34,CM34,CO34,CQ34,CS34,CU34,CW34),2)</f>
        <v>299.97000000000003</v>
      </c>
      <c r="CY34" s="19">
        <v>81.680000000000007</v>
      </c>
      <c r="CZ34" s="16">
        <f>ROUND(CY34*0.05,2)</f>
        <v>4.08</v>
      </c>
      <c r="DA34" s="16">
        <f>ROUND(CY34+CZ34,2)</f>
        <v>85.76</v>
      </c>
      <c r="DB34" s="23">
        <v>2</v>
      </c>
      <c r="DC34" s="26">
        <v>149.99</v>
      </c>
      <c r="DD34" s="18"/>
      <c r="DE34" s="18"/>
      <c r="DF34" s="18"/>
      <c r="DG34" s="18"/>
      <c r="DH34" s="18"/>
      <c r="DI34" s="18"/>
      <c r="DJ34" s="25">
        <f>CX34</f>
        <v>299.97000000000003</v>
      </c>
      <c r="DK34" s="25">
        <f t="array" ref="DK34">SUMPRODUCT(--(MOD(COLUMN(N34:CW34)-COLUMN(O34),2)=0), N34:CW34)</f>
        <v>299.97000000000003</v>
      </c>
      <c r="DL34" s="20">
        <f t="shared" si="0"/>
        <v>299.98</v>
      </c>
      <c r="DM34" s="23">
        <f t="shared" si="1"/>
        <v>0</v>
      </c>
      <c r="DN34" s="26">
        <f t="shared" si="2"/>
        <v>-9.9999999999909051E-3</v>
      </c>
      <c r="DO34" s="26">
        <f t="shared" si="3"/>
        <v>9.9999999999909051E-3</v>
      </c>
      <c r="DP34" s="26">
        <f t="shared" si="4"/>
        <v>299.98</v>
      </c>
      <c r="DQ34" s="26">
        <f t="shared" si="5"/>
        <v>0</v>
      </c>
      <c r="DR34" s="26">
        <f t="shared" si="6"/>
        <v>0</v>
      </c>
      <c r="DS34" s="26">
        <f t="shared" si="7"/>
        <v>0</v>
      </c>
      <c r="DT34" s="26">
        <f t="shared" si="8"/>
        <v>299.98</v>
      </c>
      <c r="DU34" s="26">
        <f t="shared" si="9"/>
        <v>-9.9999999999909051E-3</v>
      </c>
      <c r="DV34" s="27">
        <f>CY34</f>
        <v>81.680000000000007</v>
      </c>
      <c r="DW34" s="16">
        <f>CZ34</f>
        <v>4.08</v>
      </c>
      <c r="DX34" s="16">
        <f>DA34</f>
        <v>85.76</v>
      </c>
      <c r="DY34" s="19"/>
      <c r="DZ34" s="28"/>
      <c r="EA34" s="29"/>
      <c r="EE34" s="31"/>
      <c r="EF34" s="31"/>
      <c r="EG34" s="31"/>
      <c r="EH34" s="31"/>
      <c r="EI34" s="31"/>
    </row>
    <row r="35" spans="1:139" s="30" customFormat="1" ht="15" customHeight="1" x14ac:dyDescent="0.3">
      <c r="A35" s="9">
        <v>1337</v>
      </c>
      <c r="B35" s="10"/>
      <c r="C35" s="11" t="s">
        <v>221</v>
      </c>
      <c r="D35" s="12" t="s">
        <v>131</v>
      </c>
      <c r="E35" s="12"/>
      <c r="F35" s="12" t="s">
        <v>222</v>
      </c>
      <c r="G35" s="13" t="s">
        <v>171</v>
      </c>
      <c r="H35" s="14" t="s">
        <v>172</v>
      </c>
      <c r="I35" s="14" t="s">
        <v>173</v>
      </c>
      <c r="J35" s="13" t="s">
        <v>134</v>
      </c>
      <c r="K35" s="13" t="s">
        <v>134</v>
      </c>
      <c r="L35" s="13" t="s">
        <v>135</v>
      </c>
      <c r="M35" s="13" t="s">
        <v>136</v>
      </c>
      <c r="N35" s="15"/>
      <c r="O35" s="16"/>
      <c r="P35" s="16">
        <v>1</v>
      </c>
      <c r="Q35" s="16">
        <v>1800</v>
      </c>
      <c r="R35" s="16"/>
      <c r="S35" s="32"/>
      <c r="T35" s="16"/>
      <c r="U35" s="16"/>
      <c r="V35" s="16"/>
      <c r="W35" s="16"/>
      <c r="X35" s="16"/>
      <c r="Y35" s="16"/>
      <c r="Z35" s="17"/>
      <c r="AA35" s="18"/>
      <c r="AB35" s="18"/>
      <c r="AC35" s="18"/>
      <c r="AD35" s="18"/>
      <c r="AE35" s="18"/>
      <c r="AF35" s="18"/>
      <c r="AG35" s="18"/>
      <c r="AH35" s="18"/>
      <c r="AI35" s="18"/>
      <c r="AJ35" s="19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20"/>
      <c r="BH35" s="20"/>
      <c r="BI35" s="16"/>
      <c r="BJ35" s="16"/>
      <c r="BK35" s="16"/>
      <c r="BL35" s="16"/>
      <c r="BM35" s="16"/>
      <c r="BN35" s="21"/>
      <c r="BO35" s="16"/>
      <c r="BP35" s="16"/>
      <c r="BQ35" s="16"/>
      <c r="BR35" s="16"/>
      <c r="BS35" s="16"/>
      <c r="BT35" s="16"/>
      <c r="BU35" s="20"/>
      <c r="BV35" s="20"/>
      <c r="BW35" s="20"/>
      <c r="BX35" s="16"/>
      <c r="BY35" s="16"/>
      <c r="BZ35" s="16"/>
      <c r="CA35" s="16"/>
      <c r="CB35" s="16"/>
      <c r="CC35" s="16"/>
      <c r="CD35" s="16"/>
      <c r="CE35" s="16"/>
      <c r="CF35" s="19"/>
      <c r="CG35" s="16"/>
      <c r="CH35" s="16"/>
      <c r="CI35" s="16"/>
      <c r="CJ35" s="16"/>
      <c r="CK35" s="16"/>
      <c r="CL35" s="16"/>
      <c r="CM35" s="16"/>
      <c r="CN35" s="22"/>
      <c r="CO35" s="18"/>
      <c r="CP35" s="18"/>
      <c r="CQ35" s="18"/>
      <c r="CR35" s="18"/>
      <c r="CS35" s="18"/>
      <c r="CT35" s="18"/>
      <c r="CU35" s="18"/>
      <c r="CV35" s="16"/>
      <c r="CW35" s="16"/>
      <c r="CX35" s="22">
        <f>ROUND(SUM(O35,Q35,S35,U35,W35,Y35,AA35,AC35,AE35,AG35,AI35,AK35,AM35,AO35,AQ35,AS35,AU35,AW35,AY35,BA35,BC35,BE35,BG35,BI35,BK35,BM35,BO35,BQ35,BS35,BU35,BW35,BY35,CA35,CC35,CE35,CG35,CI35,CK35,CM35,CO35,CQ35,CS35,CU35,CW35),2)</f>
        <v>1800</v>
      </c>
      <c r="CY35" s="19">
        <v>490.13</v>
      </c>
      <c r="CZ35" s="16">
        <f>ROUND(CY35*0.05,2)</f>
        <v>24.51</v>
      </c>
      <c r="DA35" s="16">
        <f>ROUND(CY35+CZ35,2)</f>
        <v>514.64</v>
      </c>
      <c r="DB35" s="23">
        <v>1</v>
      </c>
      <c r="DC35" s="26">
        <v>1800</v>
      </c>
      <c r="DD35" s="18"/>
      <c r="DE35" s="18"/>
      <c r="DF35" s="18"/>
      <c r="DG35" s="18"/>
      <c r="DH35" s="18"/>
      <c r="DI35" s="18"/>
      <c r="DJ35" s="25">
        <f>CX35</f>
        <v>1800</v>
      </c>
      <c r="DK35" s="25">
        <f t="array" ref="DK35">SUMPRODUCT(--(MOD(COLUMN(N35:CW35)-COLUMN(O35),2)=0), N35:CW35)</f>
        <v>1800</v>
      </c>
      <c r="DL35" s="20">
        <f t="shared" si="0"/>
        <v>1800</v>
      </c>
      <c r="DM35" s="23">
        <f t="shared" si="1"/>
        <v>0</v>
      </c>
      <c r="DN35" s="26">
        <f t="shared" si="2"/>
        <v>0</v>
      </c>
      <c r="DO35" s="26">
        <f t="shared" si="3"/>
        <v>0</v>
      </c>
      <c r="DP35" s="26">
        <f t="shared" si="4"/>
        <v>1800</v>
      </c>
      <c r="DQ35" s="26">
        <f t="shared" si="5"/>
        <v>0</v>
      </c>
      <c r="DR35" s="26">
        <f t="shared" si="6"/>
        <v>0</v>
      </c>
      <c r="DS35" s="26">
        <f t="shared" si="7"/>
        <v>0</v>
      </c>
      <c r="DT35" s="26">
        <f t="shared" si="8"/>
        <v>1800</v>
      </c>
      <c r="DU35" s="26">
        <f t="shared" si="9"/>
        <v>0</v>
      </c>
      <c r="DV35" s="27">
        <f>CY35</f>
        <v>490.13</v>
      </c>
      <c r="DW35" s="16">
        <f>CZ35</f>
        <v>24.51</v>
      </c>
      <c r="DX35" s="16">
        <f>DA35</f>
        <v>514.64</v>
      </c>
      <c r="DY35" s="19"/>
      <c r="DZ35" s="28"/>
      <c r="EA35" s="29"/>
      <c r="EE35" s="31"/>
      <c r="EF35" s="31"/>
      <c r="EG35" s="31"/>
      <c r="EH35" s="31"/>
      <c r="EI35" s="31"/>
    </row>
    <row r="36" spans="1:139" s="30" customFormat="1" ht="15" customHeight="1" x14ac:dyDescent="0.3">
      <c r="A36" s="9">
        <v>1338</v>
      </c>
      <c r="B36" s="10"/>
      <c r="C36" s="11" t="s">
        <v>223</v>
      </c>
      <c r="D36" s="12" t="s">
        <v>131</v>
      </c>
      <c r="E36" s="12"/>
      <c r="F36" s="12" t="s">
        <v>224</v>
      </c>
      <c r="G36" s="13" t="s">
        <v>171</v>
      </c>
      <c r="H36" s="14" t="s">
        <v>172</v>
      </c>
      <c r="I36" s="14" t="s">
        <v>173</v>
      </c>
      <c r="J36" s="13" t="s">
        <v>138</v>
      </c>
      <c r="K36" s="13" t="s">
        <v>139</v>
      </c>
      <c r="L36" s="13" t="s">
        <v>140</v>
      </c>
      <c r="M36" s="13" t="s">
        <v>140</v>
      </c>
      <c r="N36" s="15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7"/>
      <c r="AA36" s="18"/>
      <c r="AB36" s="18"/>
      <c r="AC36" s="18"/>
      <c r="AD36" s="18"/>
      <c r="AE36" s="18"/>
      <c r="AF36" s="18"/>
      <c r="AG36" s="18"/>
      <c r="AH36" s="18"/>
      <c r="AI36" s="18"/>
      <c r="AJ36" s="19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20"/>
      <c r="BH36" s="20"/>
      <c r="BI36" s="16"/>
      <c r="BJ36" s="16"/>
      <c r="BK36" s="16"/>
      <c r="BL36" s="16"/>
      <c r="BM36" s="16"/>
      <c r="BN36" s="21">
        <v>2</v>
      </c>
      <c r="BO36" s="16">
        <v>640</v>
      </c>
      <c r="BP36" s="16">
        <v>2</v>
      </c>
      <c r="BQ36" s="16">
        <v>2500</v>
      </c>
      <c r="BR36" s="16">
        <v>2</v>
      </c>
      <c r="BS36" s="16">
        <v>4000</v>
      </c>
      <c r="BT36" s="16"/>
      <c r="BU36" s="20"/>
      <c r="BV36" s="20"/>
      <c r="BW36" s="20"/>
      <c r="BX36" s="16"/>
      <c r="BY36" s="16"/>
      <c r="BZ36" s="16"/>
      <c r="CA36" s="16"/>
      <c r="CB36" s="16"/>
      <c r="CC36" s="16"/>
      <c r="CD36" s="16"/>
      <c r="CE36" s="16"/>
      <c r="CF36" s="19"/>
      <c r="CG36" s="16"/>
      <c r="CH36" s="16"/>
      <c r="CI36" s="16"/>
      <c r="CJ36" s="16"/>
      <c r="CK36" s="16"/>
      <c r="CL36" s="16"/>
      <c r="CM36" s="16"/>
      <c r="CN36" s="22"/>
      <c r="CO36" s="18"/>
      <c r="CP36" s="18"/>
      <c r="CQ36" s="18"/>
      <c r="CR36" s="18"/>
      <c r="CS36" s="18"/>
      <c r="CT36" s="18"/>
      <c r="CU36" s="18"/>
      <c r="CV36" s="16">
        <v>2</v>
      </c>
      <c r="CW36" s="16">
        <v>1900</v>
      </c>
      <c r="CX36" s="22">
        <f>ROUND(SUM(O36,Q36,S36,U36,W36,Y36,AA36,AC36,AE36,AG36,AI36,AK36,AM36,AO36,AQ36,AS36,AU36,AW36,AY36,BA36,BC36,BE36,BG36,BI36,BK36,BM36,BO36,BQ36,BS36,BU36,BW36,BY36,CA36,CC36,CE36,CG36,CI36,CK36,CM36,CO36,CQ36,CS36,CU36,CW36),2)</f>
        <v>9040</v>
      </c>
      <c r="CY36" s="19">
        <v>2461.54</v>
      </c>
      <c r="CZ36" s="16">
        <f>ROUND(CY36*0.05,2)</f>
        <v>123.08</v>
      </c>
      <c r="DA36" s="16">
        <f>ROUND(CY36+CZ36,2)</f>
        <v>2584.62</v>
      </c>
      <c r="DB36" s="23">
        <v>1</v>
      </c>
      <c r="DC36" s="24">
        <v>1200</v>
      </c>
      <c r="DD36" s="18">
        <v>1</v>
      </c>
      <c r="DE36" s="18">
        <v>2000</v>
      </c>
      <c r="DF36" s="18">
        <v>1</v>
      </c>
      <c r="DG36" s="18">
        <v>700</v>
      </c>
      <c r="DH36" s="18">
        <v>1</v>
      </c>
      <c r="DI36" s="18">
        <v>5140</v>
      </c>
      <c r="DJ36" s="25">
        <f>CX36</f>
        <v>9040</v>
      </c>
      <c r="DK36" s="25">
        <f t="array" ref="DK36">SUMPRODUCT(--(MOD(COLUMN(N36:CW36)-COLUMN(O36),2)=0), N36:CW36)</f>
        <v>9040</v>
      </c>
      <c r="DL36" s="20">
        <f t="shared" si="0"/>
        <v>9040</v>
      </c>
      <c r="DM36" s="23">
        <f t="shared" si="1"/>
        <v>0</v>
      </c>
      <c r="DN36" s="26">
        <f t="shared" si="2"/>
        <v>0</v>
      </c>
      <c r="DO36" s="26">
        <f t="shared" si="3"/>
        <v>0</v>
      </c>
      <c r="DP36" s="26">
        <f t="shared" si="4"/>
        <v>1200</v>
      </c>
      <c r="DQ36" s="26">
        <f t="shared" si="5"/>
        <v>2000</v>
      </c>
      <c r="DR36" s="26">
        <f t="shared" si="6"/>
        <v>700</v>
      </c>
      <c r="DS36" s="26">
        <f t="shared" si="7"/>
        <v>5140</v>
      </c>
      <c r="DT36" s="26">
        <f t="shared" si="8"/>
        <v>9040</v>
      </c>
      <c r="DU36" s="26">
        <f t="shared" si="9"/>
        <v>0</v>
      </c>
      <c r="DV36" s="27">
        <f>CY36</f>
        <v>2461.54</v>
      </c>
      <c r="DW36" s="16">
        <f>CZ36</f>
        <v>123.08</v>
      </c>
      <c r="DX36" s="16">
        <f>DA36</f>
        <v>2584.62</v>
      </c>
      <c r="DY36" s="19"/>
      <c r="DZ36" s="28"/>
      <c r="EA36" s="29"/>
      <c r="EE36" s="31"/>
      <c r="EF36" s="31"/>
      <c r="EG36" s="31"/>
      <c r="EH36" s="31"/>
      <c r="EI36" s="31"/>
    </row>
    <row r="37" spans="1:139" s="30" customFormat="1" ht="15" customHeight="1" x14ac:dyDescent="0.3">
      <c r="A37" s="9">
        <v>1339</v>
      </c>
      <c r="B37" s="10"/>
      <c r="C37" s="11" t="s">
        <v>225</v>
      </c>
      <c r="D37" s="12" t="s">
        <v>131</v>
      </c>
      <c r="E37" s="12"/>
      <c r="F37" s="12" t="s">
        <v>226</v>
      </c>
      <c r="G37" s="13" t="s">
        <v>171</v>
      </c>
      <c r="H37" s="14" t="s">
        <v>172</v>
      </c>
      <c r="I37" s="14" t="s">
        <v>173</v>
      </c>
      <c r="J37" s="13" t="s">
        <v>138</v>
      </c>
      <c r="K37" s="13" t="s">
        <v>139</v>
      </c>
      <c r="L37" s="13" t="s">
        <v>142</v>
      </c>
      <c r="M37" s="13" t="s">
        <v>143</v>
      </c>
      <c r="N37" s="15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7"/>
      <c r="AA37" s="18"/>
      <c r="AB37" s="18"/>
      <c r="AC37" s="18"/>
      <c r="AD37" s="18"/>
      <c r="AE37" s="18"/>
      <c r="AF37" s="18"/>
      <c r="AG37" s="18"/>
      <c r="AH37" s="18"/>
      <c r="AI37" s="18"/>
      <c r="AJ37" s="19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20"/>
      <c r="BH37" s="20"/>
      <c r="BI37" s="16"/>
      <c r="BJ37" s="16">
        <v>1</v>
      </c>
      <c r="BK37" s="16">
        <v>478.7</v>
      </c>
      <c r="BL37" s="16">
        <v>1</v>
      </c>
      <c r="BM37" s="16">
        <v>700</v>
      </c>
      <c r="BN37" s="21"/>
      <c r="BO37" s="16"/>
      <c r="BP37" s="16"/>
      <c r="BQ37" s="16"/>
      <c r="BR37" s="16"/>
      <c r="BS37" s="16"/>
      <c r="BT37" s="16"/>
      <c r="BU37" s="20"/>
      <c r="BV37" s="20"/>
      <c r="BW37" s="20"/>
      <c r="BX37" s="16"/>
      <c r="BY37" s="16"/>
      <c r="BZ37" s="16"/>
      <c r="CA37" s="16"/>
      <c r="CB37" s="16"/>
      <c r="CC37" s="16"/>
      <c r="CD37" s="16"/>
      <c r="CE37" s="16"/>
      <c r="CF37" s="19"/>
      <c r="CG37" s="16"/>
      <c r="CH37" s="16"/>
      <c r="CI37" s="16"/>
      <c r="CJ37" s="16"/>
      <c r="CK37" s="16"/>
      <c r="CL37" s="16"/>
      <c r="CM37" s="16"/>
      <c r="CN37" s="22"/>
      <c r="CO37" s="18"/>
      <c r="CP37" s="18"/>
      <c r="CQ37" s="18"/>
      <c r="CR37" s="18"/>
      <c r="CS37" s="18"/>
      <c r="CT37" s="18"/>
      <c r="CU37" s="18"/>
      <c r="CV37" s="16"/>
      <c r="CW37" s="16"/>
      <c r="CX37" s="22">
        <f>ROUND(SUM(O37,Q37,S37,U37,W37,Y37,AA37,AC37,AE37,AG37,AI37,AK37,AM37,AO37,AQ37,AS37,AU37,AW37,AY37,BA37,BC37,BE37,BG37,BI37,BK37,BM37,BO37,BQ37,BS37,BU37,BW37,BY37,CA37,CC37,CE37,CG37,CI37,CK37,CM37,CO37,CQ37,CS37,CU37,CW37),2)</f>
        <v>1178.7</v>
      </c>
      <c r="CY37" s="19">
        <v>320.95</v>
      </c>
      <c r="CZ37" s="16">
        <f>ROUND(CY37*0.05,2)</f>
        <v>16.05</v>
      </c>
      <c r="DA37" s="16">
        <f>ROUND(CY37+CZ37,2)</f>
        <v>337</v>
      </c>
      <c r="DB37" s="23">
        <v>1</v>
      </c>
      <c r="DC37" s="26">
        <v>478.7</v>
      </c>
      <c r="DD37" s="18">
        <v>1</v>
      </c>
      <c r="DE37" s="18">
        <v>700</v>
      </c>
      <c r="DF37" s="18"/>
      <c r="DG37" s="18"/>
      <c r="DH37" s="18"/>
      <c r="DI37" s="18"/>
      <c r="DJ37" s="25">
        <f>CX37</f>
        <v>1178.7</v>
      </c>
      <c r="DK37" s="25">
        <f t="array" ref="DK37">SUMPRODUCT(--(MOD(COLUMN(N37:CW37)-COLUMN(O37),2)=0), N37:CW37)</f>
        <v>1178.7</v>
      </c>
      <c r="DL37" s="20">
        <f t="shared" si="0"/>
        <v>1178.7</v>
      </c>
      <c r="DM37" s="23">
        <f t="shared" si="1"/>
        <v>0</v>
      </c>
      <c r="DN37" s="26">
        <f t="shared" si="2"/>
        <v>0</v>
      </c>
      <c r="DO37" s="26">
        <f t="shared" si="3"/>
        <v>0</v>
      </c>
      <c r="DP37" s="26">
        <f t="shared" si="4"/>
        <v>478.7</v>
      </c>
      <c r="DQ37" s="26">
        <f t="shared" si="5"/>
        <v>700</v>
      </c>
      <c r="DR37" s="26">
        <f t="shared" si="6"/>
        <v>0</v>
      </c>
      <c r="DS37" s="26">
        <f t="shared" si="7"/>
        <v>0</v>
      </c>
      <c r="DT37" s="26">
        <f t="shared" si="8"/>
        <v>1178.7</v>
      </c>
      <c r="DU37" s="26">
        <f t="shared" si="9"/>
        <v>0</v>
      </c>
      <c r="DV37" s="27">
        <f>CY37</f>
        <v>320.95</v>
      </c>
      <c r="DW37" s="16">
        <f>CZ37</f>
        <v>16.05</v>
      </c>
      <c r="DX37" s="16">
        <f>DA37</f>
        <v>337</v>
      </c>
      <c r="DY37" s="19"/>
      <c r="DZ37" s="28"/>
      <c r="EA37" s="29"/>
      <c r="EE37" s="31"/>
      <c r="EF37" s="31"/>
      <c r="EG37" s="31"/>
      <c r="EH37" s="31"/>
      <c r="EI37" s="31"/>
    </row>
    <row r="38" spans="1:139" s="30" customFormat="1" ht="15" customHeight="1" x14ac:dyDescent="0.3">
      <c r="A38" s="9">
        <v>1340</v>
      </c>
      <c r="B38" s="10"/>
      <c r="C38" s="11" t="s">
        <v>227</v>
      </c>
      <c r="D38" s="12" t="s">
        <v>131</v>
      </c>
      <c r="E38" s="12"/>
      <c r="F38" s="12" t="s">
        <v>228</v>
      </c>
      <c r="G38" s="13" t="s">
        <v>171</v>
      </c>
      <c r="H38" s="14" t="s">
        <v>172</v>
      </c>
      <c r="I38" s="14" t="s">
        <v>173</v>
      </c>
      <c r="J38" s="13" t="s">
        <v>138</v>
      </c>
      <c r="K38" s="13" t="s">
        <v>138</v>
      </c>
      <c r="L38" s="13" t="s">
        <v>145</v>
      </c>
      <c r="M38" s="13" t="s">
        <v>146</v>
      </c>
      <c r="N38" s="15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7"/>
      <c r="AA38" s="18"/>
      <c r="AB38" s="18"/>
      <c r="AC38" s="18"/>
      <c r="AD38" s="18"/>
      <c r="AE38" s="18"/>
      <c r="AF38" s="18"/>
      <c r="AG38" s="18"/>
      <c r="AH38" s="18"/>
      <c r="AI38" s="18"/>
      <c r="AJ38" s="19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20"/>
      <c r="BH38" s="20"/>
      <c r="BI38" s="16"/>
      <c r="BJ38" s="16"/>
      <c r="BK38" s="16"/>
      <c r="BL38" s="16"/>
      <c r="BM38" s="16"/>
      <c r="BN38" s="21"/>
      <c r="BO38" s="16"/>
      <c r="BP38" s="16"/>
      <c r="BQ38" s="16"/>
      <c r="BR38" s="16"/>
      <c r="BS38" s="16"/>
      <c r="BT38" s="16"/>
      <c r="BU38" s="20"/>
      <c r="BV38" s="20"/>
      <c r="BW38" s="20"/>
      <c r="BX38" s="16"/>
      <c r="BY38" s="16"/>
      <c r="BZ38" s="16"/>
      <c r="CA38" s="16"/>
      <c r="CB38" s="16"/>
      <c r="CC38" s="16"/>
      <c r="CD38" s="16">
        <v>217.2</v>
      </c>
      <c r="CE38" s="16">
        <v>3475.2</v>
      </c>
      <c r="CF38" s="19"/>
      <c r="CG38" s="16"/>
      <c r="CH38" s="16"/>
      <c r="CI38" s="16"/>
      <c r="CJ38" s="16"/>
      <c r="CK38" s="16"/>
      <c r="CL38" s="16"/>
      <c r="CM38" s="16"/>
      <c r="CN38" s="22"/>
      <c r="CO38" s="18"/>
      <c r="CP38" s="18"/>
      <c r="CQ38" s="18"/>
      <c r="CR38" s="18"/>
      <c r="CS38" s="18"/>
      <c r="CT38" s="18"/>
      <c r="CU38" s="18"/>
      <c r="CV38" s="16"/>
      <c r="CW38" s="16"/>
      <c r="CX38" s="22">
        <f>ROUND(SUM(O38,Q38,S38,U38,W38,Y38,AA38,AC38,AE38,AG38,AI38,AK38,AM38,AO38,AQ38,AS38,AU38,AW38,AY38,BA38,BC38,BE38,BG38,BI38,BK38,BM38,BO38,BQ38,BS38,BU38,BW38,BY38,CA38,CC38,CE38,CG38,CI38,CK38,CM38,CO38,CQ38,CS38,CU38,CW38),2)</f>
        <v>3475.2</v>
      </c>
      <c r="CY38" s="19">
        <v>946.28</v>
      </c>
      <c r="CZ38" s="16">
        <f>ROUND(CY38*0.05,2)</f>
        <v>47.31</v>
      </c>
      <c r="DA38" s="16">
        <f>ROUND(CY38+CZ38,2)</f>
        <v>993.59</v>
      </c>
      <c r="DB38" s="23">
        <v>217.2</v>
      </c>
      <c r="DC38" s="26">
        <v>16</v>
      </c>
      <c r="DD38" s="18"/>
      <c r="DE38" s="18"/>
      <c r="DF38" s="18"/>
      <c r="DG38" s="18"/>
      <c r="DH38" s="18"/>
      <c r="DI38" s="18"/>
      <c r="DJ38" s="25">
        <f>CX38</f>
        <v>3475.2</v>
      </c>
      <c r="DK38" s="25">
        <f t="array" ref="DK38">SUMPRODUCT(--(MOD(COLUMN(N38:CW38)-COLUMN(O38),2)=0), N38:CW38)</f>
        <v>3475.2</v>
      </c>
      <c r="DL38" s="20">
        <f t="shared" si="0"/>
        <v>3475.2</v>
      </c>
      <c r="DM38" s="23">
        <f t="shared" si="1"/>
        <v>0</v>
      </c>
      <c r="DN38" s="26">
        <f t="shared" si="2"/>
        <v>0</v>
      </c>
      <c r="DO38" s="26">
        <f t="shared" si="3"/>
        <v>0</v>
      </c>
      <c r="DP38" s="26">
        <f t="shared" si="4"/>
        <v>3475.2</v>
      </c>
      <c r="DQ38" s="26">
        <f t="shared" si="5"/>
        <v>0</v>
      </c>
      <c r="DR38" s="26">
        <f t="shared" si="6"/>
        <v>0</v>
      </c>
      <c r="DS38" s="26">
        <f t="shared" si="7"/>
        <v>0</v>
      </c>
      <c r="DT38" s="26">
        <f t="shared" si="8"/>
        <v>3475.2</v>
      </c>
      <c r="DU38" s="26">
        <f t="shared" si="9"/>
        <v>0</v>
      </c>
      <c r="DV38" s="27">
        <f>CY38</f>
        <v>946.28</v>
      </c>
      <c r="DW38" s="16">
        <f>CZ38</f>
        <v>47.31</v>
      </c>
      <c r="DX38" s="16">
        <f>DA38</f>
        <v>993.59</v>
      </c>
      <c r="DY38" s="19"/>
      <c r="DZ38" s="28"/>
      <c r="EA38" s="29"/>
      <c r="EE38" s="31"/>
      <c r="EF38" s="31"/>
      <c r="EG38" s="31"/>
      <c r="EH38" s="31"/>
      <c r="EI38" s="31"/>
    </row>
    <row r="39" spans="1:139" s="30" customFormat="1" ht="15" customHeight="1" x14ac:dyDescent="0.3">
      <c r="A39" s="9">
        <v>1341</v>
      </c>
      <c r="B39" s="10"/>
      <c r="C39" s="11" t="s">
        <v>229</v>
      </c>
      <c r="D39" s="12" t="s">
        <v>131</v>
      </c>
      <c r="E39" s="12"/>
      <c r="F39" s="12" t="s">
        <v>230</v>
      </c>
      <c r="G39" s="13" t="s">
        <v>171</v>
      </c>
      <c r="H39" s="14" t="s">
        <v>172</v>
      </c>
      <c r="I39" s="14" t="s">
        <v>173</v>
      </c>
      <c r="J39" s="13" t="s">
        <v>138</v>
      </c>
      <c r="K39" s="13" t="s">
        <v>138</v>
      </c>
      <c r="L39" s="13" t="s">
        <v>231</v>
      </c>
      <c r="M39" s="13" t="s">
        <v>232</v>
      </c>
      <c r="N39" s="15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7"/>
      <c r="AA39" s="18"/>
      <c r="AB39" s="18">
        <v>2</v>
      </c>
      <c r="AC39" s="18">
        <v>840</v>
      </c>
      <c r="AD39" s="18"/>
      <c r="AE39" s="18"/>
      <c r="AF39" s="18"/>
      <c r="AG39" s="18"/>
      <c r="AH39" s="18"/>
      <c r="AI39" s="18"/>
      <c r="AJ39" s="19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20"/>
      <c r="BH39" s="20"/>
      <c r="BI39" s="16"/>
      <c r="BJ39" s="16"/>
      <c r="BK39" s="16"/>
      <c r="BL39" s="16"/>
      <c r="BM39" s="16"/>
      <c r="BN39" s="21"/>
      <c r="BO39" s="16"/>
      <c r="BP39" s="16"/>
      <c r="BQ39" s="16"/>
      <c r="BR39" s="16"/>
      <c r="BS39" s="16"/>
      <c r="BT39" s="16"/>
      <c r="BU39" s="20"/>
      <c r="BV39" s="20"/>
      <c r="BW39" s="20"/>
      <c r="BX39" s="16"/>
      <c r="BY39" s="16"/>
      <c r="BZ39" s="16"/>
      <c r="CA39" s="16"/>
      <c r="CB39" s="16"/>
      <c r="CC39" s="16"/>
      <c r="CD39" s="16"/>
      <c r="CE39" s="16"/>
      <c r="CF39" s="19">
        <v>24</v>
      </c>
      <c r="CG39" s="16">
        <v>1080</v>
      </c>
      <c r="CH39" s="16"/>
      <c r="CI39" s="16"/>
      <c r="CJ39" s="16">
        <v>3</v>
      </c>
      <c r="CK39" s="16">
        <v>150</v>
      </c>
      <c r="CL39" s="16"/>
      <c r="CM39" s="16"/>
      <c r="CN39" s="22">
        <v>2</v>
      </c>
      <c r="CO39" s="18">
        <v>1600</v>
      </c>
      <c r="CP39" s="18"/>
      <c r="CQ39" s="18"/>
      <c r="CR39" s="18"/>
      <c r="CS39" s="18"/>
      <c r="CT39" s="18">
        <v>9</v>
      </c>
      <c r="CU39" s="18">
        <v>1230</v>
      </c>
      <c r="CV39" s="16"/>
      <c r="CW39" s="16"/>
      <c r="CX39" s="22">
        <f>ROUND(SUM(O39,Q39,S39,U39,W39,Y39,AA39,AC39,AE39,AG39,AI39,AK39,AM39,AO39,AQ39,AS39,AU39,AW39,AY39,BA39,BC39,BE39,BG39,BI39,BK39,BM39,BO39,BQ39,BS39,BU39,BW39,BY39,CA39,CC39,CE39,CG39,CI39,CK39,CM39,CO39,CQ39,CS39,CU39,CW39),2)</f>
        <v>4900</v>
      </c>
      <c r="CY39" s="19">
        <v>1334.24</v>
      </c>
      <c r="CZ39" s="16">
        <f>ROUND(CY39*0.05,2)</f>
        <v>66.709999999999994</v>
      </c>
      <c r="DA39" s="16">
        <f>ROUND(CY39+CZ39,2)</f>
        <v>1400.95</v>
      </c>
      <c r="DB39" s="23">
        <v>2</v>
      </c>
      <c r="DC39" s="26">
        <v>800</v>
      </c>
      <c r="DD39" s="18">
        <v>2</v>
      </c>
      <c r="DE39" s="18">
        <v>420</v>
      </c>
      <c r="DF39" s="18">
        <v>1</v>
      </c>
      <c r="DG39" s="18">
        <v>50</v>
      </c>
      <c r="DH39" s="18">
        <v>1</v>
      </c>
      <c r="DI39" s="18">
        <v>2410</v>
      </c>
      <c r="DJ39" s="25">
        <f>CX39</f>
        <v>4900</v>
      </c>
      <c r="DK39" s="25">
        <f t="array" ref="DK39">SUMPRODUCT(--(MOD(COLUMN(N39:CW39)-COLUMN(O39),2)=0), N39:CW39)</f>
        <v>4900</v>
      </c>
      <c r="DL39" s="20">
        <f t="shared" si="0"/>
        <v>4900</v>
      </c>
      <c r="DM39" s="23">
        <f t="shared" si="1"/>
        <v>0</v>
      </c>
      <c r="DN39" s="26">
        <f t="shared" si="2"/>
        <v>0</v>
      </c>
      <c r="DO39" s="26">
        <f t="shared" si="3"/>
        <v>0</v>
      </c>
      <c r="DP39" s="26">
        <f t="shared" si="4"/>
        <v>1600</v>
      </c>
      <c r="DQ39" s="26">
        <f t="shared" si="5"/>
        <v>840</v>
      </c>
      <c r="DR39" s="26">
        <f t="shared" si="6"/>
        <v>50</v>
      </c>
      <c r="DS39" s="26">
        <f t="shared" si="7"/>
        <v>2410</v>
      </c>
      <c r="DT39" s="26">
        <f t="shared" si="8"/>
        <v>4900</v>
      </c>
      <c r="DU39" s="26">
        <f t="shared" si="9"/>
        <v>0</v>
      </c>
      <c r="DV39" s="27">
        <f>CY39</f>
        <v>1334.24</v>
      </c>
      <c r="DW39" s="16">
        <f>CZ39</f>
        <v>66.709999999999994</v>
      </c>
      <c r="DX39" s="16">
        <f>DA39</f>
        <v>1400.95</v>
      </c>
      <c r="DY39" s="19"/>
      <c r="DZ39" s="28"/>
      <c r="EA39" s="29"/>
      <c r="EE39" s="31"/>
      <c r="EF39" s="31"/>
      <c r="EG39" s="31"/>
      <c r="EH39" s="31"/>
      <c r="EI39" s="31"/>
    </row>
    <row r="40" spans="1:139" s="30" customFormat="1" ht="15" customHeight="1" x14ac:dyDescent="0.3">
      <c r="A40" s="9">
        <v>1342</v>
      </c>
      <c r="B40" s="10"/>
      <c r="C40" s="11" t="s">
        <v>233</v>
      </c>
      <c r="D40" s="12" t="s">
        <v>131</v>
      </c>
      <c r="E40" s="12"/>
      <c r="F40" s="12" t="s">
        <v>234</v>
      </c>
      <c r="G40" s="13" t="s">
        <v>171</v>
      </c>
      <c r="H40" s="14" t="s">
        <v>172</v>
      </c>
      <c r="I40" s="14" t="s">
        <v>173</v>
      </c>
      <c r="J40" s="13" t="s">
        <v>138</v>
      </c>
      <c r="K40" s="13" t="s">
        <v>138</v>
      </c>
      <c r="L40" s="13" t="s">
        <v>213</v>
      </c>
      <c r="M40" s="13" t="s">
        <v>214</v>
      </c>
      <c r="N40" s="15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7"/>
      <c r="AA40" s="18"/>
      <c r="AB40" s="18">
        <v>1</v>
      </c>
      <c r="AC40" s="18">
        <v>340</v>
      </c>
      <c r="AD40" s="18"/>
      <c r="AE40" s="18"/>
      <c r="AF40" s="18"/>
      <c r="AG40" s="18"/>
      <c r="AH40" s="18"/>
      <c r="AI40" s="18"/>
      <c r="AJ40" s="19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20"/>
      <c r="BH40" s="20"/>
      <c r="BI40" s="16"/>
      <c r="BJ40" s="16"/>
      <c r="BK40" s="16"/>
      <c r="BL40" s="16"/>
      <c r="BM40" s="16"/>
      <c r="BN40" s="21"/>
      <c r="BO40" s="16"/>
      <c r="BP40" s="16"/>
      <c r="BQ40" s="16"/>
      <c r="BR40" s="16"/>
      <c r="BS40" s="16"/>
      <c r="BT40" s="16">
        <v>6</v>
      </c>
      <c r="BU40" s="20">
        <v>1440</v>
      </c>
      <c r="BV40" s="20"/>
      <c r="BW40" s="20"/>
      <c r="BX40" s="16"/>
      <c r="BY40" s="16"/>
      <c r="BZ40" s="16"/>
      <c r="CA40" s="16"/>
      <c r="CB40" s="16"/>
      <c r="CC40" s="16"/>
      <c r="CD40" s="16"/>
      <c r="CE40" s="16"/>
      <c r="CF40" s="19">
        <v>24</v>
      </c>
      <c r="CG40" s="16">
        <v>1080</v>
      </c>
      <c r="CH40" s="16"/>
      <c r="CI40" s="16"/>
      <c r="CJ40" s="16">
        <v>4</v>
      </c>
      <c r="CK40" s="16">
        <v>200</v>
      </c>
      <c r="CL40" s="16"/>
      <c r="CM40" s="16"/>
      <c r="CN40" s="22"/>
      <c r="CO40" s="18"/>
      <c r="CP40" s="18"/>
      <c r="CQ40" s="18"/>
      <c r="CR40" s="18"/>
      <c r="CS40" s="18"/>
      <c r="CT40" s="18">
        <v>8</v>
      </c>
      <c r="CU40" s="18">
        <v>1570</v>
      </c>
      <c r="CV40" s="16">
        <v>3</v>
      </c>
      <c r="CW40" s="16">
        <v>1725</v>
      </c>
      <c r="CX40" s="22">
        <f>ROUND(SUM(O40,Q40,S40,U40,W40,Y40,AA40,AC40,AE40,AG40,AI40,AK40,AM40,AO40,AQ40,AS40,AU40,AW40,AY40,BA40,BC40,BE40,BG40,BI40,BK40,BM40,BO40,BQ40,BS40,BU40,BW40,BY40,CA40,CC40,CE40,CG40,CI40,CK40,CM40,CO40,CQ40,CS40,CU40,CW40),2)</f>
        <v>6355</v>
      </c>
      <c r="CY40" s="19">
        <v>1730.43</v>
      </c>
      <c r="CZ40" s="16">
        <f>ROUND(CY40*0.05,2)</f>
        <v>86.52</v>
      </c>
      <c r="DA40" s="16">
        <f>ROUND(CY40+CZ40,2)</f>
        <v>1816.95</v>
      </c>
      <c r="DB40" s="23">
        <v>3</v>
      </c>
      <c r="DC40" s="26">
        <v>575</v>
      </c>
      <c r="DD40" s="26">
        <v>1</v>
      </c>
      <c r="DE40" s="18">
        <v>340</v>
      </c>
      <c r="DF40" s="18">
        <v>3</v>
      </c>
      <c r="DG40" s="18">
        <v>60</v>
      </c>
      <c r="DH40" s="18">
        <v>1</v>
      </c>
      <c r="DI40" s="18">
        <v>4110</v>
      </c>
      <c r="DJ40" s="25">
        <f>CX40</f>
        <v>6355</v>
      </c>
      <c r="DK40" s="25">
        <f t="array" ref="DK40">SUMPRODUCT(--(MOD(COLUMN(N40:CW40)-COLUMN(O40),2)=0), N40:CW40)</f>
        <v>6355</v>
      </c>
      <c r="DL40" s="20">
        <f t="shared" si="0"/>
        <v>6355</v>
      </c>
      <c r="DM40" s="23">
        <f t="shared" si="1"/>
        <v>0</v>
      </c>
      <c r="DN40" s="26">
        <f t="shared" si="2"/>
        <v>0</v>
      </c>
      <c r="DO40" s="26">
        <f t="shared" si="3"/>
        <v>0</v>
      </c>
      <c r="DP40" s="26">
        <f t="shared" si="4"/>
        <v>1725</v>
      </c>
      <c r="DQ40" s="26">
        <f t="shared" si="5"/>
        <v>340</v>
      </c>
      <c r="DR40" s="26">
        <f t="shared" si="6"/>
        <v>180</v>
      </c>
      <c r="DS40" s="26">
        <f t="shared" si="7"/>
        <v>4110</v>
      </c>
      <c r="DT40" s="26">
        <f t="shared" si="8"/>
        <v>6355</v>
      </c>
      <c r="DU40" s="26">
        <f t="shared" si="9"/>
        <v>0</v>
      </c>
      <c r="DV40" s="27">
        <f>CY40</f>
        <v>1730.43</v>
      </c>
      <c r="DW40" s="16">
        <f>CZ40</f>
        <v>86.52</v>
      </c>
      <c r="DX40" s="16">
        <f>DA40</f>
        <v>1816.95</v>
      </c>
      <c r="DY40" s="19"/>
      <c r="DZ40" s="28"/>
      <c r="EA40" s="29"/>
      <c r="EE40" s="31"/>
      <c r="EF40" s="31"/>
      <c r="EG40" s="31"/>
      <c r="EH40" s="31"/>
      <c r="EI40" s="31"/>
    </row>
    <row r="41" spans="1:139" s="30" customFormat="1" ht="15" customHeight="1" x14ac:dyDescent="0.3">
      <c r="A41" s="9">
        <v>1343</v>
      </c>
      <c r="B41" s="10"/>
      <c r="C41" s="11" t="s">
        <v>235</v>
      </c>
      <c r="D41" s="12" t="s">
        <v>131</v>
      </c>
      <c r="E41" s="12"/>
      <c r="F41" s="12" t="s">
        <v>236</v>
      </c>
      <c r="G41" s="13" t="s">
        <v>190</v>
      </c>
      <c r="H41" s="14" t="s">
        <v>172</v>
      </c>
      <c r="I41" s="14" t="s">
        <v>173</v>
      </c>
      <c r="J41" s="13" t="s">
        <v>138</v>
      </c>
      <c r="K41" s="13" t="s">
        <v>138</v>
      </c>
      <c r="L41" s="13" t="s">
        <v>231</v>
      </c>
      <c r="M41" s="13" t="s">
        <v>232</v>
      </c>
      <c r="N41" s="15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7"/>
      <c r="AA41" s="18"/>
      <c r="AB41" s="18">
        <v>1</v>
      </c>
      <c r="AC41" s="18">
        <v>420</v>
      </c>
      <c r="AD41" s="18"/>
      <c r="AE41" s="18"/>
      <c r="AF41" s="18"/>
      <c r="AG41" s="18"/>
      <c r="AH41" s="18"/>
      <c r="AI41" s="18"/>
      <c r="AJ41" s="19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20"/>
      <c r="BH41" s="20"/>
      <c r="BI41" s="16"/>
      <c r="BJ41" s="16"/>
      <c r="BK41" s="16"/>
      <c r="BL41" s="16"/>
      <c r="BM41" s="16"/>
      <c r="BN41" s="21"/>
      <c r="BO41" s="16"/>
      <c r="BP41" s="16"/>
      <c r="BQ41" s="16"/>
      <c r="BR41" s="16"/>
      <c r="BS41" s="16"/>
      <c r="BT41" s="16">
        <v>4</v>
      </c>
      <c r="BU41" s="20">
        <v>960</v>
      </c>
      <c r="BV41" s="20"/>
      <c r="BW41" s="20"/>
      <c r="BX41" s="16"/>
      <c r="BY41" s="16"/>
      <c r="BZ41" s="16"/>
      <c r="CA41" s="16"/>
      <c r="CB41" s="16"/>
      <c r="CC41" s="16"/>
      <c r="CD41" s="16"/>
      <c r="CE41" s="16"/>
      <c r="CF41" s="19">
        <v>54</v>
      </c>
      <c r="CG41" s="16">
        <v>2430</v>
      </c>
      <c r="CH41" s="16"/>
      <c r="CI41" s="16"/>
      <c r="CJ41" s="16">
        <v>9</v>
      </c>
      <c r="CK41" s="16">
        <v>450</v>
      </c>
      <c r="CL41" s="16"/>
      <c r="CM41" s="16"/>
      <c r="CN41" s="22">
        <v>9</v>
      </c>
      <c r="CO41" s="18">
        <v>7200</v>
      </c>
      <c r="CP41" s="18"/>
      <c r="CQ41" s="18"/>
      <c r="CR41" s="18"/>
      <c r="CS41" s="18"/>
      <c r="CT41" s="18">
        <v>8</v>
      </c>
      <c r="CU41" s="18">
        <v>1570</v>
      </c>
      <c r="CV41" s="16"/>
      <c r="CW41" s="16"/>
      <c r="CX41" s="22">
        <f>ROUND(SUM(O41,Q41,S41,U41,W41,Y41,AA41,AC41,AE41,AG41,AI41,AK41,AM41,AO41,AQ41,AS41,AU41,AW41,AY41,BA41,BC41,BE41,BG41,BI41,BK41,BM41,BO41,BQ41,BS41,BU41,BW41,BY41,CA41,CC41,CE41,CG41,CI41,CK41,CM41,CO41,CQ41,CS41,CU41,CW41),2)</f>
        <v>13030</v>
      </c>
      <c r="CY41" s="19">
        <v>3547.99</v>
      </c>
      <c r="CZ41" s="16">
        <f>ROUND(CY41*0.05,2)</f>
        <v>177.4</v>
      </c>
      <c r="DA41" s="16">
        <f>ROUND(CY41+CZ41,2)</f>
        <v>3725.39</v>
      </c>
      <c r="DB41" s="23">
        <v>9</v>
      </c>
      <c r="DC41" s="26">
        <v>800</v>
      </c>
      <c r="DD41" s="18">
        <v>1</v>
      </c>
      <c r="DE41" s="18">
        <v>420</v>
      </c>
      <c r="DF41" s="18">
        <v>2</v>
      </c>
      <c r="DG41" s="18">
        <v>60</v>
      </c>
      <c r="DH41" s="18">
        <v>1</v>
      </c>
      <c r="DI41" s="18">
        <v>5290</v>
      </c>
      <c r="DJ41" s="25">
        <f>CX41</f>
        <v>13030</v>
      </c>
      <c r="DK41" s="25">
        <f t="array" ref="DK41">SUMPRODUCT(--(MOD(COLUMN(N41:CW41)-COLUMN(O41),2)=0), N41:CW41)</f>
        <v>13030</v>
      </c>
      <c r="DL41" s="20">
        <f t="shared" si="0"/>
        <v>13030</v>
      </c>
      <c r="DM41" s="23">
        <f t="shared" si="1"/>
        <v>0</v>
      </c>
      <c r="DN41" s="26">
        <f t="shared" si="2"/>
        <v>0</v>
      </c>
      <c r="DO41" s="26">
        <f t="shared" si="3"/>
        <v>0</v>
      </c>
      <c r="DP41" s="26">
        <f t="shared" si="4"/>
        <v>7200</v>
      </c>
      <c r="DQ41" s="26">
        <f t="shared" si="5"/>
        <v>420</v>
      </c>
      <c r="DR41" s="26">
        <f t="shared" si="6"/>
        <v>120</v>
      </c>
      <c r="DS41" s="26">
        <f t="shared" si="7"/>
        <v>5290</v>
      </c>
      <c r="DT41" s="26">
        <f t="shared" si="8"/>
        <v>13030</v>
      </c>
      <c r="DU41" s="26">
        <f t="shared" si="9"/>
        <v>0</v>
      </c>
      <c r="DV41" s="27">
        <f>CY41</f>
        <v>3547.99</v>
      </c>
      <c r="DW41" s="16">
        <f>CZ41</f>
        <v>177.4</v>
      </c>
      <c r="DX41" s="16">
        <f>DA41</f>
        <v>3725.39</v>
      </c>
      <c r="DY41" s="19"/>
      <c r="DZ41" s="28"/>
      <c r="EA41" s="29"/>
      <c r="EE41" s="31"/>
      <c r="EF41" s="31"/>
      <c r="EG41" s="31"/>
      <c r="EH41" s="31"/>
      <c r="EI41" s="31"/>
    </row>
    <row r="42" spans="1:139" s="30" customFormat="1" ht="15" customHeight="1" x14ac:dyDescent="0.3">
      <c r="A42" s="9">
        <v>1344</v>
      </c>
      <c r="B42" s="10"/>
      <c r="C42" s="11" t="s">
        <v>237</v>
      </c>
      <c r="D42" s="12" t="s">
        <v>131</v>
      </c>
      <c r="E42" s="12"/>
      <c r="F42" s="12" t="s">
        <v>216</v>
      </c>
      <c r="G42" s="13" t="s">
        <v>171</v>
      </c>
      <c r="H42" s="14" t="s">
        <v>172</v>
      </c>
      <c r="I42" s="14" t="s">
        <v>173</v>
      </c>
      <c r="J42" s="13" t="s">
        <v>134</v>
      </c>
      <c r="K42" s="13" t="s">
        <v>134</v>
      </c>
      <c r="L42" s="13" t="s">
        <v>159</v>
      </c>
      <c r="M42" s="13" t="s">
        <v>160</v>
      </c>
      <c r="N42" s="15"/>
      <c r="O42" s="16"/>
      <c r="P42" s="16"/>
      <c r="Q42" s="16"/>
      <c r="R42" s="16"/>
      <c r="S42" s="16"/>
      <c r="T42" s="16"/>
      <c r="U42" s="16"/>
      <c r="V42" s="16"/>
      <c r="W42" s="16"/>
      <c r="X42" s="16">
        <v>0.1</v>
      </c>
      <c r="Y42" s="16">
        <v>3797.88</v>
      </c>
      <c r="Z42" s="17"/>
      <c r="AA42" s="18"/>
      <c r="AB42" s="18"/>
      <c r="AC42" s="18"/>
      <c r="AD42" s="18"/>
      <c r="AE42" s="18"/>
      <c r="AF42" s="18"/>
      <c r="AG42" s="18"/>
      <c r="AH42" s="18"/>
      <c r="AI42" s="18"/>
      <c r="AJ42" s="19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20"/>
      <c r="BH42" s="20"/>
      <c r="BI42" s="16"/>
      <c r="BJ42" s="16"/>
      <c r="BK42" s="16"/>
      <c r="BL42" s="16"/>
      <c r="BM42" s="16"/>
      <c r="BN42" s="21"/>
      <c r="BO42" s="16"/>
      <c r="BP42" s="16"/>
      <c r="BQ42" s="16"/>
      <c r="BR42" s="16"/>
      <c r="BS42" s="16"/>
      <c r="BT42" s="16"/>
      <c r="BU42" s="20"/>
      <c r="BV42" s="20"/>
      <c r="BW42" s="20"/>
      <c r="BX42" s="16"/>
      <c r="BY42" s="16"/>
      <c r="BZ42" s="16"/>
      <c r="CA42" s="16"/>
      <c r="CB42" s="16"/>
      <c r="CC42" s="16"/>
      <c r="CD42" s="16"/>
      <c r="CE42" s="16"/>
      <c r="CF42" s="19"/>
      <c r="CG42" s="16"/>
      <c r="CH42" s="16"/>
      <c r="CI42" s="16"/>
      <c r="CJ42" s="16"/>
      <c r="CK42" s="16"/>
      <c r="CL42" s="16"/>
      <c r="CM42" s="16"/>
      <c r="CN42" s="22"/>
      <c r="CO42" s="18"/>
      <c r="CP42" s="18"/>
      <c r="CQ42" s="18"/>
      <c r="CR42" s="18"/>
      <c r="CS42" s="18"/>
      <c r="CT42" s="18"/>
      <c r="CU42" s="18"/>
      <c r="CV42" s="16"/>
      <c r="CW42" s="16"/>
      <c r="CX42" s="22">
        <f>ROUND(SUM(O42,Q42,S42,U42,W42,Y42,AA42,AC42,AE42,AG42,AI42,AK42,AM42,AO42,AQ42,AS42,AU42,AW42,AY42,BA42,BC42,BE42,BG42,BI42,BK42,BM42,BO42,BQ42,BS42,BU42,BW42,BY42,CA42,CC42,CE42,CG42,CI42,CK42,CM42,CO42,CQ42,CS42,CU42,CW42),2)</f>
        <v>3797.88</v>
      </c>
      <c r="CY42" s="19">
        <v>1034.1400000000001</v>
      </c>
      <c r="CZ42" s="16">
        <f>ROUND(CY42*0.05,2)</f>
        <v>51.71</v>
      </c>
      <c r="DA42" s="16">
        <f>ROUND(CY42+CZ42,2)</f>
        <v>1085.8499999999999</v>
      </c>
      <c r="DB42" s="23">
        <v>1</v>
      </c>
      <c r="DC42" s="26">
        <v>3797.88</v>
      </c>
      <c r="DD42" s="18"/>
      <c r="DE42" s="18"/>
      <c r="DF42" s="18"/>
      <c r="DG42" s="18"/>
      <c r="DH42" s="18"/>
      <c r="DI42" s="18"/>
      <c r="DJ42" s="25">
        <f>CX42</f>
        <v>3797.88</v>
      </c>
      <c r="DK42" s="25">
        <f t="array" ref="DK42">SUMPRODUCT(--(MOD(COLUMN(N42:CW42)-COLUMN(O42),2)=0), N42:CW42)</f>
        <v>3797.88</v>
      </c>
      <c r="DL42" s="20">
        <f t="shared" si="0"/>
        <v>3797.88</v>
      </c>
      <c r="DM42" s="23">
        <f t="shared" si="1"/>
        <v>0</v>
      </c>
      <c r="DN42" s="26">
        <f t="shared" si="2"/>
        <v>0</v>
      </c>
      <c r="DO42" s="26">
        <f t="shared" si="3"/>
        <v>0</v>
      </c>
      <c r="DP42" s="26">
        <f t="shared" si="4"/>
        <v>3797.88</v>
      </c>
      <c r="DQ42" s="26">
        <f t="shared" si="5"/>
        <v>0</v>
      </c>
      <c r="DR42" s="26">
        <f t="shared" si="6"/>
        <v>0</v>
      </c>
      <c r="DS42" s="26">
        <f t="shared" si="7"/>
        <v>0</v>
      </c>
      <c r="DT42" s="26">
        <f t="shared" si="8"/>
        <v>3797.88</v>
      </c>
      <c r="DU42" s="26">
        <f t="shared" si="9"/>
        <v>0</v>
      </c>
      <c r="DV42" s="27">
        <f>CY42</f>
        <v>1034.1400000000001</v>
      </c>
      <c r="DW42" s="16">
        <f>CZ42</f>
        <v>51.71</v>
      </c>
      <c r="DX42" s="16">
        <f>DA42</f>
        <v>1085.8499999999999</v>
      </c>
      <c r="DY42" s="19"/>
      <c r="DZ42" s="28"/>
      <c r="EA42" s="29"/>
      <c r="EE42" s="31"/>
      <c r="EF42" s="31"/>
      <c r="EG42" s="31"/>
      <c r="EH42" s="31"/>
      <c r="EI42" s="31"/>
    </row>
    <row r="43" spans="1:139" s="30" customFormat="1" ht="15" customHeight="1" x14ac:dyDescent="0.3">
      <c r="A43" s="9">
        <v>1345</v>
      </c>
      <c r="B43" s="10"/>
      <c r="C43" s="11" t="s">
        <v>238</v>
      </c>
      <c r="D43" s="12" t="s">
        <v>131</v>
      </c>
      <c r="E43" s="12"/>
      <c r="F43" s="12" t="s">
        <v>239</v>
      </c>
      <c r="G43" s="13" t="s">
        <v>190</v>
      </c>
      <c r="H43" s="14" t="s">
        <v>172</v>
      </c>
      <c r="I43" s="14" t="s">
        <v>173</v>
      </c>
      <c r="J43" s="13" t="s">
        <v>134</v>
      </c>
      <c r="K43" s="13" t="s">
        <v>134</v>
      </c>
      <c r="L43" s="13" t="s">
        <v>195</v>
      </c>
      <c r="M43" s="13" t="s">
        <v>162</v>
      </c>
      <c r="N43" s="15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7"/>
      <c r="AA43" s="18"/>
      <c r="AB43" s="18"/>
      <c r="AC43" s="18"/>
      <c r="AD43" s="18"/>
      <c r="AE43" s="18"/>
      <c r="AF43" s="18"/>
      <c r="AG43" s="18"/>
      <c r="AH43" s="18"/>
      <c r="AI43" s="18"/>
      <c r="AJ43" s="19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20"/>
      <c r="BH43" s="20"/>
      <c r="BI43" s="16"/>
      <c r="BJ43" s="16"/>
      <c r="BK43" s="16"/>
      <c r="BL43" s="16"/>
      <c r="BM43" s="16"/>
      <c r="BN43" s="21"/>
      <c r="BO43" s="16"/>
      <c r="BP43" s="16"/>
      <c r="BQ43" s="16"/>
      <c r="BR43" s="16"/>
      <c r="BS43" s="16"/>
      <c r="BT43" s="16"/>
      <c r="BU43" s="20"/>
      <c r="BV43" s="20"/>
      <c r="BW43" s="20"/>
      <c r="BX43" s="16"/>
      <c r="BY43" s="16"/>
      <c r="BZ43" s="16"/>
      <c r="CA43" s="16"/>
      <c r="CB43" s="16"/>
      <c r="CC43" s="16"/>
      <c r="CD43" s="16"/>
      <c r="CE43" s="16"/>
      <c r="CF43" s="19"/>
      <c r="CG43" s="16"/>
      <c r="CH43" s="16"/>
      <c r="CI43" s="16"/>
      <c r="CJ43" s="16"/>
      <c r="CK43" s="16"/>
      <c r="CL43" s="16"/>
      <c r="CM43" s="16"/>
      <c r="CN43" s="22"/>
      <c r="CO43" s="18"/>
      <c r="CP43" s="18"/>
      <c r="CQ43" s="18"/>
      <c r="CR43" s="18"/>
      <c r="CS43" s="18"/>
      <c r="CT43" s="18"/>
      <c r="CU43" s="18"/>
      <c r="CV43" s="16">
        <v>5</v>
      </c>
      <c r="CW43" s="16">
        <v>1000.02</v>
      </c>
      <c r="CX43" s="22">
        <f>ROUND(SUM(O43,Q43,S43,U43,W43,Y43,AA43,AC43,AE43,AG43,AI43,AK43,AM43,AO43,AQ43,AS43,AU43,AW43,AY43,BA43,BC43,BE43,BG43,BI43,BK43,BM43,BO43,BQ43,BS43,BU43,BW43,BY43,CA43,CC43,CE43,CG43,CI43,CK43,CM43,CO43,CQ43,CS43,CU43,CW43),2)</f>
        <v>1000.02</v>
      </c>
      <c r="CY43" s="19">
        <v>272.3</v>
      </c>
      <c r="CZ43" s="16">
        <f>ROUND(CY43*0.05,2)</f>
        <v>13.62</v>
      </c>
      <c r="DA43" s="16">
        <f>ROUND(CY43+CZ43,2)</f>
        <v>285.92</v>
      </c>
      <c r="DB43" s="23">
        <v>5</v>
      </c>
      <c r="DC43" s="26">
        <v>200</v>
      </c>
      <c r="DD43" s="18"/>
      <c r="DE43" s="18"/>
      <c r="DF43" s="18"/>
      <c r="DG43" s="18"/>
      <c r="DH43" s="18"/>
      <c r="DI43" s="18"/>
      <c r="DJ43" s="25">
        <f>CX43</f>
        <v>1000.02</v>
      </c>
      <c r="DK43" s="25">
        <f t="array" ref="DK43">SUMPRODUCT(--(MOD(COLUMN(N43:CW43)-COLUMN(O43),2)=0), N43:CW43)</f>
        <v>1000.02</v>
      </c>
      <c r="DL43" s="20">
        <f t="shared" si="0"/>
        <v>1000</v>
      </c>
      <c r="DM43" s="23">
        <f t="shared" si="1"/>
        <v>0</v>
      </c>
      <c r="DN43" s="26">
        <f t="shared" si="2"/>
        <v>1.999999999998181E-2</v>
      </c>
      <c r="DO43" s="26">
        <f t="shared" si="3"/>
        <v>-1.999999999998181E-2</v>
      </c>
      <c r="DP43" s="26">
        <f t="shared" si="4"/>
        <v>1000</v>
      </c>
      <c r="DQ43" s="26">
        <f t="shared" si="5"/>
        <v>0</v>
      </c>
      <c r="DR43" s="26">
        <f t="shared" si="6"/>
        <v>0</v>
      </c>
      <c r="DS43" s="26">
        <f t="shared" si="7"/>
        <v>0</v>
      </c>
      <c r="DT43" s="26">
        <f t="shared" si="8"/>
        <v>1000</v>
      </c>
      <c r="DU43" s="26">
        <f t="shared" si="9"/>
        <v>1.999999999998181E-2</v>
      </c>
      <c r="DV43" s="27">
        <f>CY43</f>
        <v>272.3</v>
      </c>
      <c r="DW43" s="16">
        <f>CZ43</f>
        <v>13.62</v>
      </c>
      <c r="DX43" s="16">
        <f>DA43</f>
        <v>285.92</v>
      </c>
      <c r="DY43" s="19"/>
      <c r="DZ43" s="28"/>
      <c r="EA43" s="29"/>
      <c r="EE43" s="31"/>
      <c r="EF43" s="31"/>
      <c r="EG43" s="31"/>
      <c r="EH43" s="31"/>
      <c r="EI43" s="31"/>
    </row>
    <row r="44" spans="1:139" s="30" customFormat="1" ht="15" customHeight="1" x14ac:dyDescent="0.3">
      <c r="A44" s="9">
        <v>1346</v>
      </c>
      <c r="B44" s="10"/>
      <c r="C44" s="11" t="s">
        <v>240</v>
      </c>
      <c r="D44" s="12" t="s">
        <v>131</v>
      </c>
      <c r="E44" s="12"/>
      <c r="F44" s="12" t="s">
        <v>197</v>
      </c>
      <c r="G44" s="13" t="s">
        <v>171</v>
      </c>
      <c r="H44" s="14" t="s">
        <v>172</v>
      </c>
      <c r="I44" s="14" t="s">
        <v>173</v>
      </c>
      <c r="J44" s="13" t="s">
        <v>134</v>
      </c>
      <c r="K44" s="13" t="s">
        <v>134</v>
      </c>
      <c r="L44" s="13" t="s">
        <v>195</v>
      </c>
      <c r="M44" s="13" t="s">
        <v>162</v>
      </c>
      <c r="N44" s="15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7"/>
      <c r="AA44" s="18"/>
      <c r="AB44" s="18"/>
      <c r="AC44" s="18"/>
      <c r="AD44" s="18"/>
      <c r="AE44" s="18"/>
      <c r="AF44" s="18"/>
      <c r="AG44" s="18"/>
      <c r="AH44" s="18"/>
      <c r="AI44" s="18"/>
      <c r="AJ44" s="19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20"/>
      <c r="BH44" s="20"/>
      <c r="BI44" s="16"/>
      <c r="BJ44" s="16"/>
      <c r="BK44" s="16"/>
      <c r="BL44" s="16"/>
      <c r="BM44" s="16"/>
      <c r="BN44" s="21"/>
      <c r="BO44" s="16"/>
      <c r="BP44" s="16"/>
      <c r="BQ44" s="16"/>
      <c r="BR44" s="16"/>
      <c r="BS44" s="16"/>
      <c r="BT44" s="16"/>
      <c r="BU44" s="20"/>
      <c r="BV44" s="20"/>
      <c r="BW44" s="20"/>
      <c r="BX44" s="16"/>
      <c r="BY44" s="16"/>
      <c r="BZ44" s="16"/>
      <c r="CA44" s="16"/>
      <c r="CB44" s="16"/>
      <c r="CC44" s="16"/>
      <c r="CD44" s="16"/>
      <c r="CE44" s="16"/>
      <c r="CF44" s="19"/>
      <c r="CG44" s="16"/>
      <c r="CH44" s="16"/>
      <c r="CI44" s="16"/>
      <c r="CJ44" s="16"/>
      <c r="CK44" s="16"/>
      <c r="CL44" s="16"/>
      <c r="CM44" s="16"/>
      <c r="CN44" s="22"/>
      <c r="CO44" s="18"/>
      <c r="CP44" s="18"/>
      <c r="CQ44" s="18"/>
      <c r="CR44" s="18"/>
      <c r="CS44" s="18"/>
      <c r="CT44" s="18"/>
      <c r="CU44" s="18"/>
      <c r="CV44" s="16">
        <v>3</v>
      </c>
      <c r="CW44" s="16">
        <v>600.01</v>
      </c>
      <c r="CX44" s="22">
        <f>ROUND(SUM(O44,Q44,S44,U44,W44,Y44,AA44,AC44,AE44,AG44,AI44,AK44,AM44,AO44,AQ44,AS44,AU44,AW44,AY44,BA44,BC44,BE44,BG44,BI44,BK44,BM44,BO44,BQ44,BS44,BU44,BW44,BY44,CA44,CC44,CE44,CG44,CI44,CK44,CM44,CO44,CQ44,CS44,CU44,CW44),2)</f>
        <v>600.01</v>
      </c>
      <c r="CY44" s="19">
        <v>163.38</v>
      </c>
      <c r="CZ44" s="16">
        <f>ROUND(CY44*0.05,2)</f>
        <v>8.17</v>
      </c>
      <c r="DA44" s="16">
        <f>ROUND(CY44+CZ44,2)</f>
        <v>171.55</v>
      </c>
      <c r="DB44" s="23">
        <v>3</v>
      </c>
      <c r="DC44" s="26">
        <v>200</v>
      </c>
      <c r="DD44" s="18"/>
      <c r="DE44" s="18"/>
      <c r="DF44" s="18"/>
      <c r="DG44" s="18"/>
      <c r="DH44" s="18"/>
      <c r="DI44" s="18"/>
      <c r="DJ44" s="25">
        <f>CX44</f>
        <v>600.01</v>
      </c>
      <c r="DK44" s="25">
        <f t="array" ref="DK44">SUMPRODUCT(--(MOD(COLUMN(N44:CW44)-COLUMN(O44),2)=0), N44:CW44)</f>
        <v>600.01</v>
      </c>
      <c r="DL44" s="20">
        <f t="shared" si="0"/>
        <v>600</v>
      </c>
      <c r="DM44" s="23">
        <f t="shared" si="1"/>
        <v>0</v>
      </c>
      <c r="DN44" s="26">
        <f t="shared" si="2"/>
        <v>9.9999999999909051E-3</v>
      </c>
      <c r="DO44" s="26">
        <f t="shared" si="3"/>
        <v>-9.9999999999909051E-3</v>
      </c>
      <c r="DP44" s="26">
        <f t="shared" si="4"/>
        <v>600</v>
      </c>
      <c r="DQ44" s="26">
        <f t="shared" si="5"/>
        <v>0</v>
      </c>
      <c r="DR44" s="26">
        <f t="shared" si="6"/>
        <v>0</v>
      </c>
      <c r="DS44" s="26">
        <f t="shared" si="7"/>
        <v>0</v>
      </c>
      <c r="DT44" s="26">
        <f t="shared" si="8"/>
        <v>600</v>
      </c>
      <c r="DU44" s="26">
        <f t="shared" si="9"/>
        <v>9.9999999999909051E-3</v>
      </c>
      <c r="DV44" s="27">
        <f>CY44</f>
        <v>163.38</v>
      </c>
      <c r="DW44" s="16">
        <f>CZ44</f>
        <v>8.17</v>
      </c>
      <c r="DX44" s="16">
        <f>DA44</f>
        <v>171.55</v>
      </c>
      <c r="DY44" s="19"/>
      <c r="DZ44" s="28"/>
      <c r="EA44" s="29"/>
      <c r="EE44" s="31"/>
      <c r="EF44" s="31"/>
      <c r="EG44" s="31"/>
      <c r="EH44" s="31"/>
      <c r="EI44" s="31"/>
    </row>
    <row r="45" spans="1:139" s="30" customFormat="1" ht="15" customHeight="1" x14ac:dyDescent="0.3">
      <c r="A45" s="9">
        <v>1347</v>
      </c>
      <c r="B45" s="10"/>
      <c r="C45" s="11" t="s">
        <v>241</v>
      </c>
      <c r="D45" s="12" t="s">
        <v>131</v>
      </c>
      <c r="E45" s="12"/>
      <c r="F45" s="12" t="s">
        <v>219</v>
      </c>
      <c r="G45" s="13" t="s">
        <v>171</v>
      </c>
      <c r="H45" s="14" t="s">
        <v>172</v>
      </c>
      <c r="I45" s="14" t="s">
        <v>173</v>
      </c>
      <c r="J45" s="13" t="s">
        <v>134</v>
      </c>
      <c r="K45" s="13" t="s">
        <v>134</v>
      </c>
      <c r="L45" s="13" t="s">
        <v>200</v>
      </c>
      <c r="M45" s="13" t="s">
        <v>201</v>
      </c>
      <c r="N45" s="15">
        <v>1</v>
      </c>
      <c r="O45" s="16">
        <v>500.01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7"/>
      <c r="AA45" s="18"/>
      <c r="AB45" s="18"/>
      <c r="AC45" s="18"/>
      <c r="AD45" s="18"/>
      <c r="AE45" s="18"/>
      <c r="AF45" s="18"/>
      <c r="AG45" s="18"/>
      <c r="AH45" s="18"/>
      <c r="AI45" s="18"/>
      <c r="AJ45" s="19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20"/>
      <c r="BH45" s="20"/>
      <c r="BI45" s="16"/>
      <c r="BJ45" s="16"/>
      <c r="BK45" s="16"/>
      <c r="BL45" s="16"/>
      <c r="BM45" s="16"/>
      <c r="BN45" s="21"/>
      <c r="BO45" s="16"/>
      <c r="BP45" s="16"/>
      <c r="BQ45" s="16"/>
      <c r="BR45" s="16"/>
      <c r="BS45" s="16"/>
      <c r="BT45" s="16"/>
      <c r="BU45" s="20"/>
      <c r="BV45" s="20"/>
      <c r="BW45" s="20"/>
      <c r="BX45" s="16"/>
      <c r="BY45" s="16"/>
      <c r="BZ45" s="16"/>
      <c r="CA45" s="16"/>
      <c r="CB45" s="16"/>
      <c r="CC45" s="16"/>
      <c r="CD45" s="16"/>
      <c r="CE45" s="16"/>
      <c r="CF45" s="19"/>
      <c r="CG45" s="16"/>
      <c r="CH45" s="16"/>
      <c r="CI45" s="16"/>
      <c r="CJ45" s="16"/>
      <c r="CK45" s="16"/>
      <c r="CL45" s="16"/>
      <c r="CM45" s="16"/>
      <c r="CN45" s="22"/>
      <c r="CO45" s="18"/>
      <c r="CP45" s="18"/>
      <c r="CQ45" s="18"/>
      <c r="CR45" s="18"/>
      <c r="CS45" s="18"/>
      <c r="CT45" s="18"/>
      <c r="CU45" s="18"/>
      <c r="CV45" s="16"/>
      <c r="CW45" s="16"/>
      <c r="CX45" s="22">
        <f>ROUND(SUM(O45,Q45,S45,U45,W45,Y45,AA45,AC45,AE45,AG45,AI45,AK45,AM45,AO45,AQ45,AS45,AU45,AW45,AY45,BA45,BC45,BE45,BG45,BI45,BK45,BM45,BO45,BQ45,BS45,BU45,BW45,BY45,CA45,CC45,CE45,CG45,CI45,CK45,CM45,CO45,CQ45,CS45,CU45,CW45),2)</f>
        <v>500.01</v>
      </c>
      <c r="CY45" s="19">
        <v>136.15</v>
      </c>
      <c r="CZ45" s="16">
        <f>ROUND(CY45*0.05,2)</f>
        <v>6.81</v>
      </c>
      <c r="DA45" s="16">
        <f>ROUND(CY45+CZ45,2)</f>
        <v>142.96</v>
      </c>
      <c r="DB45" s="23">
        <v>1</v>
      </c>
      <c r="DC45" s="26">
        <v>500.01</v>
      </c>
      <c r="DD45" s="18"/>
      <c r="DE45" s="18"/>
      <c r="DF45" s="18"/>
      <c r="DG45" s="18"/>
      <c r="DH45" s="18"/>
      <c r="DI45" s="18"/>
      <c r="DJ45" s="25">
        <f>CX45</f>
        <v>500.01</v>
      </c>
      <c r="DK45" s="25">
        <f t="array" ref="DK45">SUMPRODUCT(--(MOD(COLUMN(N45:CW45)-COLUMN(O45),2)=0), N45:CW45)</f>
        <v>500.01</v>
      </c>
      <c r="DL45" s="20">
        <f t="shared" si="0"/>
        <v>500.01</v>
      </c>
      <c r="DM45" s="23">
        <f t="shared" si="1"/>
        <v>0</v>
      </c>
      <c r="DN45" s="26">
        <f t="shared" si="2"/>
        <v>0</v>
      </c>
      <c r="DO45" s="26">
        <f t="shared" si="3"/>
        <v>0</v>
      </c>
      <c r="DP45" s="26">
        <f t="shared" si="4"/>
        <v>500.01</v>
      </c>
      <c r="DQ45" s="26">
        <f t="shared" si="5"/>
        <v>0</v>
      </c>
      <c r="DR45" s="26">
        <f t="shared" si="6"/>
        <v>0</v>
      </c>
      <c r="DS45" s="26">
        <f t="shared" si="7"/>
        <v>0</v>
      </c>
      <c r="DT45" s="26">
        <f t="shared" si="8"/>
        <v>500.01</v>
      </c>
      <c r="DU45" s="26">
        <f t="shared" si="9"/>
        <v>0</v>
      </c>
      <c r="DV45" s="27">
        <f>CY45</f>
        <v>136.15</v>
      </c>
      <c r="DW45" s="16">
        <f>CZ45</f>
        <v>6.81</v>
      </c>
      <c r="DX45" s="16">
        <f>DA45</f>
        <v>142.96</v>
      </c>
      <c r="DY45" s="19"/>
      <c r="DZ45" s="28"/>
      <c r="EA45" s="29"/>
      <c r="EE45" s="31"/>
      <c r="EF45" s="31"/>
      <c r="EG45" s="31"/>
      <c r="EH45" s="31"/>
      <c r="EI45" s="31"/>
    </row>
    <row r="46" spans="1:139" s="30" customFormat="1" ht="15" customHeight="1" x14ac:dyDescent="0.3">
      <c r="A46" s="9">
        <v>1348</v>
      </c>
      <c r="B46" s="10"/>
      <c r="C46" s="11" t="s">
        <v>242</v>
      </c>
      <c r="D46" s="12" t="s">
        <v>131</v>
      </c>
      <c r="E46" s="12"/>
      <c r="F46" s="12" t="s">
        <v>166</v>
      </c>
      <c r="G46" s="13" t="s">
        <v>171</v>
      </c>
      <c r="H46" s="14" t="s">
        <v>172</v>
      </c>
      <c r="I46" s="14" t="s">
        <v>173</v>
      </c>
      <c r="J46" s="13" t="s">
        <v>134</v>
      </c>
      <c r="K46" s="13" t="s">
        <v>134</v>
      </c>
      <c r="L46" s="13" t="s">
        <v>167</v>
      </c>
      <c r="M46" s="13" t="s">
        <v>168</v>
      </c>
      <c r="N46" s="15"/>
      <c r="O46" s="16"/>
      <c r="P46" s="16"/>
      <c r="Q46" s="16"/>
      <c r="R46" s="16"/>
      <c r="S46" s="16"/>
      <c r="T46" s="16">
        <v>2</v>
      </c>
      <c r="U46" s="16">
        <v>299.97000000000003</v>
      </c>
      <c r="V46" s="16"/>
      <c r="W46" s="16"/>
      <c r="X46" s="16"/>
      <c r="Y46" s="16"/>
      <c r="Z46" s="17"/>
      <c r="AA46" s="18"/>
      <c r="AB46" s="18"/>
      <c r="AC46" s="18"/>
      <c r="AD46" s="18"/>
      <c r="AE46" s="18"/>
      <c r="AF46" s="18"/>
      <c r="AG46" s="18"/>
      <c r="AH46" s="18"/>
      <c r="AI46" s="18"/>
      <c r="AJ46" s="19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20"/>
      <c r="BH46" s="20"/>
      <c r="BI46" s="16"/>
      <c r="BJ46" s="16"/>
      <c r="BK46" s="16"/>
      <c r="BL46" s="16"/>
      <c r="BM46" s="16"/>
      <c r="BN46" s="21"/>
      <c r="BO46" s="16"/>
      <c r="BP46" s="16"/>
      <c r="BQ46" s="16"/>
      <c r="BR46" s="16"/>
      <c r="BS46" s="16"/>
      <c r="BT46" s="16"/>
      <c r="BU46" s="20"/>
      <c r="BV46" s="20"/>
      <c r="BW46" s="20"/>
      <c r="BX46" s="16"/>
      <c r="BY46" s="16"/>
      <c r="BZ46" s="16"/>
      <c r="CA46" s="16"/>
      <c r="CB46" s="16"/>
      <c r="CC46" s="16"/>
      <c r="CD46" s="16"/>
      <c r="CE46" s="16"/>
      <c r="CF46" s="19"/>
      <c r="CG46" s="16"/>
      <c r="CH46" s="16"/>
      <c r="CI46" s="16"/>
      <c r="CJ46" s="16"/>
      <c r="CK46" s="16"/>
      <c r="CL46" s="16"/>
      <c r="CM46" s="16"/>
      <c r="CN46" s="22"/>
      <c r="CO46" s="18"/>
      <c r="CP46" s="18"/>
      <c r="CQ46" s="18"/>
      <c r="CR46" s="18"/>
      <c r="CS46" s="18"/>
      <c r="CT46" s="18"/>
      <c r="CU46" s="18"/>
      <c r="CV46" s="16"/>
      <c r="CW46" s="16"/>
      <c r="CX46" s="22">
        <f>ROUND(SUM(O46,Q46,S46,U46,W46,Y46,AA46,AC46,AE46,AG46,AI46,AK46,AM46,AO46,AQ46,AS46,AU46,AW46,AY46,BA46,BC46,BE46,BG46,BI46,BK46,BM46,BO46,BQ46,BS46,BU46,BW46,BY46,CA46,CC46,CE46,CG46,CI46,CK46,CM46,CO46,CQ46,CS46,CU46,CW46),2)</f>
        <v>299.97000000000003</v>
      </c>
      <c r="CY46" s="19">
        <v>81.680000000000007</v>
      </c>
      <c r="CZ46" s="16">
        <f>ROUND(CY46*0.05,2)</f>
        <v>4.08</v>
      </c>
      <c r="DA46" s="16">
        <f>ROUND(CY46+CZ46,2)</f>
        <v>85.76</v>
      </c>
      <c r="DB46" s="23">
        <v>2</v>
      </c>
      <c r="DC46" s="26">
        <v>149.99</v>
      </c>
      <c r="DD46" s="18"/>
      <c r="DE46" s="18"/>
      <c r="DF46" s="18"/>
      <c r="DG46" s="18"/>
      <c r="DH46" s="18"/>
      <c r="DI46" s="18"/>
      <c r="DJ46" s="25">
        <f>CX46</f>
        <v>299.97000000000003</v>
      </c>
      <c r="DK46" s="25">
        <f t="array" ref="DK46">SUMPRODUCT(--(MOD(COLUMN(N46:CW46)-COLUMN(O46),2)=0), N46:CW46)</f>
        <v>299.97000000000003</v>
      </c>
      <c r="DL46" s="20">
        <f t="shared" si="0"/>
        <v>299.98</v>
      </c>
      <c r="DM46" s="23">
        <f t="shared" si="1"/>
        <v>0</v>
      </c>
      <c r="DN46" s="26">
        <f t="shared" si="2"/>
        <v>-9.9999999999909051E-3</v>
      </c>
      <c r="DO46" s="26">
        <f t="shared" si="3"/>
        <v>9.9999999999909051E-3</v>
      </c>
      <c r="DP46" s="26">
        <f t="shared" si="4"/>
        <v>299.98</v>
      </c>
      <c r="DQ46" s="26">
        <f t="shared" si="5"/>
        <v>0</v>
      </c>
      <c r="DR46" s="26">
        <f t="shared" si="6"/>
        <v>0</v>
      </c>
      <c r="DS46" s="26">
        <f t="shared" si="7"/>
        <v>0</v>
      </c>
      <c r="DT46" s="26">
        <f t="shared" si="8"/>
        <v>299.98</v>
      </c>
      <c r="DU46" s="26">
        <f t="shared" si="9"/>
        <v>-9.9999999999909051E-3</v>
      </c>
      <c r="DV46" s="27">
        <f>CY46</f>
        <v>81.680000000000007</v>
      </c>
      <c r="DW46" s="16">
        <f>CZ46</f>
        <v>4.08</v>
      </c>
      <c r="DX46" s="16">
        <f>DA46</f>
        <v>85.76</v>
      </c>
      <c r="DY46" s="19"/>
      <c r="DZ46" s="28"/>
      <c r="EA46" s="29"/>
      <c r="EE46" s="31"/>
      <c r="EF46" s="31"/>
      <c r="EG46" s="31"/>
      <c r="EH46" s="31"/>
      <c r="EI46" s="31"/>
    </row>
    <row r="47" spans="1:139" s="30" customFormat="1" ht="15" customHeight="1" x14ac:dyDescent="0.3">
      <c r="A47" s="9">
        <v>1349</v>
      </c>
      <c r="B47" s="10"/>
      <c r="C47" s="11" t="s">
        <v>243</v>
      </c>
      <c r="D47" s="12" t="s">
        <v>131</v>
      </c>
      <c r="E47" s="12"/>
      <c r="F47" s="12" t="s">
        <v>244</v>
      </c>
      <c r="G47" s="13" t="s">
        <v>171</v>
      </c>
      <c r="H47" s="14" t="s">
        <v>172</v>
      </c>
      <c r="I47" s="14" t="s">
        <v>173</v>
      </c>
      <c r="J47" s="13" t="s">
        <v>138</v>
      </c>
      <c r="K47" s="13" t="s">
        <v>134</v>
      </c>
      <c r="L47" s="13" t="s">
        <v>245</v>
      </c>
      <c r="M47" s="13" t="s">
        <v>246</v>
      </c>
      <c r="N47" s="15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7"/>
      <c r="AA47" s="18"/>
      <c r="AB47" s="18"/>
      <c r="AC47" s="18"/>
      <c r="AD47" s="18"/>
      <c r="AE47" s="18"/>
      <c r="AF47" s="18"/>
      <c r="AG47" s="18"/>
      <c r="AH47" s="18"/>
      <c r="AI47" s="18"/>
      <c r="AJ47" s="19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20"/>
      <c r="BH47" s="20"/>
      <c r="BI47" s="16"/>
      <c r="BJ47" s="16"/>
      <c r="BK47" s="16"/>
      <c r="BL47" s="16"/>
      <c r="BM47" s="16"/>
      <c r="BN47" s="21"/>
      <c r="BO47" s="16"/>
      <c r="BP47" s="16"/>
      <c r="BQ47" s="16"/>
      <c r="BR47" s="16"/>
      <c r="BS47" s="16"/>
      <c r="BT47" s="16"/>
      <c r="BU47" s="20"/>
      <c r="BV47" s="20">
        <v>36</v>
      </c>
      <c r="BW47" s="20">
        <v>3440</v>
      </c>
      <c r="BX47" s="16"/>
      <c r="BY47" s="16"/>
      <c r="BZ47" s="16"/>
      <c r="CA47" s="16"/>
      <c r="CB47" s="16"/>
      <c r="CC47" s="16"/>
      <c r="CD47" s="16"/>
      <c r="CE47" s="16"/>
      <c r="CF47" s="19"/>
      <c r="CG47" s="16"/>
      <c r="CH47" s="16"/>
      <c r="CI47" s="16"/>
      <c r="CJ47" s="16"/>
      <c r="CK47" s="16"/>
      <c r="CL47" s="16"/>
      <c r="CM47" s="16"/>
      <c r="CN47" s="22"/>
      <c r="CO47" s="18"/>
      <c r="CP47" s="18"/>
      <c r="CQ47" s="18"/>
      <c r="CR47" s="18"/>
      <c r="CS47" s="18"/>
      <c r="CT47" s="18"/>
      <c r="CU47" s="18"/>
      <c r="CV47" s="16"/>
      <c r="CW47" s="16"/>
      <c r="CX47" s="22">
        <f>ROUND(SUM(O47,Q47,S47,U47,W47,Y47,AA47,AC47,AE47,AG47,AI47,AK47,AM47,AO47,AQ47,AS47,AU47,AW47,AY47,BA47,BC47,BE47,BG47,BI47,BK47,BM47,BO47,BQ47,BS47,BU47,BW47,BY47,CA47,CC47,CE47,CG47,CI47,CK47,CM47,CO47,CQ47,CS47,CU47,CW47),2)</f>
        <v>3440</v>
      </c>
      <c r="CY47" s="19">
        <v>936.69</v>
      </c>
      <c r="CZ47" s="16">
        <f>ROUND(CY47*0.05,2)</f>
        <v>46.83</v>
      </c>
      <c r="DA47" s="16">
        <f>ROUND(CY47+CZ47,2)</f>
        <v>983.52</v>
      </c>
      <c r="DB47" s="23">
        <v>1</v>
      </c>
      <c r="DC47" s="26">
        <v>3440</v>
      </c>
      <c r="DD47" s="18"/>
      <c r="DE47" s="18"/>
      <c r="DF47" s="18"/>
      <c r="DG47" s="18"/>
      <c r="DH47" s="18"/>
      <c r="DI47" s="18"/>
      <c r="DJ47" s="25">
        <f>CX47</f>
        <v>3440</v>
      </c>
      <c r="DK47" s="25">
        <f t="array" ref="DK47">SUMPRODUCT(--(MOD(COLUMN(N47:CW47)-COLUMN(O47),2)=0), N47:CW47)</f>
        <v>3440</v>
      </c>
      <c r="DL47" s="20">
        <f t="shared" si="0"/>
        <v>3440</v>
      </c>
      <c r="DM47" s="23">
        <f t="shared" si="1"/>
        <v>0</v>
      </c>
      <c r="DN47" s="26">
        <f t="shared" si="2"/>
        <v>0</v>
      </c>
      <c r="DO47" s="26">
        <f t="shared" si="3"/>
        <v>0</v>
      </c>
      <c r="DP47" s="26">
        <f t="shared" si="4"/>
        <v>3440</v>
      </c>
      <c r="DQ47" s="26">
        <f t="shared" si="5"/>
        <v>0</v>
      </c>
      <c r="DR47" s="26">
        <f t="shared" si="6"/>
        <v>0</v>
      </c>
      <c r="DS47" s="26">
        <f t="shared" si="7"/>
        <v>0</v>
      </c>
      <c r="DT47" s="26">
        <f t="shared" si="8"/>
        <v>3440</v>
      </c>
      <c r="DU47" s="26">
        <f t="shared" si="9"/>
        <v>0</v>
      </c>
      <c r="DV47" s="27">
        <f>CY47</f>
        <v>936.69</v>
      </c>
      <c r="DW47" s="16">
        <f>CZ47</f>
        <v>46.83</v>
      </c>
      <c r="DX47" s="16">
        <f>DA47</f>
        <v>983.52</v>
      </c>
      <c r="DY47" s="19"/>
      <c r="DZ47" s="28"/>
      <c r="EA47" s="29"/>
      <c r="EE47" s="31"/>
      <c r="EF47" s="31"/>
      <c r="EG47" s="31"/>
      <c r="EH47" s="31"/>
      <c r="EI47" s="31"/>
    </row>
    <row r="48" spans="1:139" s="30" customFormat="1" ht="15" customHeight="1" x14ac:dyDescent="0.3">
      <c r="A48" s="9">
        <v>1350</v>
      </c>
      <c r="B48" s="10"/>
      <c r="C48" s="11" t="s">
        <v>247</v>
      </c>
      <c r="D48" s="12" t="s">
        <v>131</v>
      </c>
      <c r="E48" s="12"/>
      <c r="F48" s="12" t="s">
        <v>248</v>
      </c>
      <c r="G48" s="13" t="s">
        <v>171</v>
      </c>
      <c r="H48" s="14" t="s">
        <v>172</v>
      </c>
      <c r="I48" s="14" t="s">
        <v>173</v>
      </c>
      <c r="J48" s="13" t="s">
        <v>134</v>
      </c>
      <c r="K48" s="13" t="s">
        <v>134</v>
      </c>
      <c r="L48" s="13" t="s">
        <v>195</v>
      </c>
      <c r="M48" s="13" t="s">
        <v>162</v>
      </c>
      <c r="N48" s="15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7"/>
      <c r="AA48" s="18"/>
      <c r="AB48" s="18"/>
      <c r="AC48" s="18"/>
      <c r="AD48" s="18"/>
      <c r="AE48" s="18"/>
      <c r="AF48" s="18"/>
      <c r="AG48" s="18"/>
      <c r="AH48" s="18"/>
      <c r="AI48" s="18"/>
      <c r="AJ48" s="19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20"/>
      <c r="BH48" s="20"/>
      <c r="BI48" s="16"/>
      <c r="BJ48" s="16"/>
      <c r="BK48" s="16"/>
      <c r="BL48" s="16"/>
      <c r="BM48" s="16"/>
      <c r="BN48" s="21"/>
      <c r="BO48" s="16"/>
      <c r="BP48" s="16"/>
      <c r="BQ48" s="16"/>
      <c r="BR48" s="16"/>
      <c r="BS48" s="16"/>
      <c r="BT48" s="16"/>
      <c r="BU48" s="20"/>
      <c r="BV48" s="20"/>
      <c r="BW48" s="20"/>
      <c r="BX48" s="16"/>
      <c r="BY48" s="16"/>
      <c r="BZ48" s="16"/>
      <c r="CA48" s="16"/>
      <c r="CB48" s="16"/>
      <c r="CC48" s="16"/>
      <c r="CD48" s="16"/>
      <c r="CE48" s="16"/>
      <c r="CF48" s="19"/>
      <c r="CG48" s="16"/>
      <c r="CH48" s="16"/>
      <c r="CI48" s="16"/>
      <c r="CJ48" s="16"/>
      <c r="CK48" s="16"/>
      <c r="CL48" s="16"/>
      <c r="CM48" s="16"/>
      <c r="CN48" s="22"/>
      <c r="CO48" s="18"/>
      <c r="CP48" s="18"/>
      <c r="CQ48" s="18"/>
      <c r="CR48" s="18"/>
      <c r="CS48" s="18"/>
      <c r="CT48" s="18"/>
      <c r="CU48" s="18"/>
      <c r="CV48" s="16">
        <v>4</v>
      </c>
      <c r="CW48" s="16">
        <v>40</v>
      </c>
      <c r="CX48" s="22">
        <f>ROUND(SUM(O48,Q48,S48,U48,W48,Y48,AA48,AC48,AE48,AG48,AI48,AK48,AM48,AO48,AQ48,AS48,AU48,AW48,AY48,BA48,BC48,BE48,BG48,BI48,BK48,BM48,BO48,BQ48,BS48,BU48,BW48,BY48,CA48,CC48,CE48,CG48,CI48,CK48,CM48,CO48,CQ48,CS48,CU48,CW48),2)</f>
        <v>40</v>
      </c>
      <c r="CY48" s="19">
        <v>10.88</v>
      </c>
      <c r="CZ48" s="16">
        <f>ROUND(CY48*0.05,2)</f>
        <v>0.54</v>
      </c>
      <c r="DA48" s="16">
        <f>ROUND(CY48+CZ48,2)</f>
        <v>11.42</v>
      </c>
      <c r="DB48" s="23">
        <v>4</v>
      </c>
      <c r="DC48" s="26">
        <v>10</v>
      </c>
      <c r="DD48" s="18"/>
      <c r="DE48" s="18"/>
      <c r="DF48" s="18"/>
      <c r="DG48" s="18"/>
      <c r="DH48" s="18"/>
      <c r="DI48" s="18"/>
      <c r="DJ48" s="25">
        <f>CX48</f>
        <v>40</v>
      </c>
      <c r="DK48" s="25">
        <f t="array" ref="DK48">SUMPRODUCT(--(MOD(COLUMN(N48:CW48)-COLUMN(O48),2)=0), N48:CW48)</f>
        <v>40</v>
      </c>
      <c r="DL48" s="20">
        <f t="shared" si="0"/>
        <v>40</v>
      </c>
      <c r="DM48" s="23">
        <f t="shared" si="1"/>
        <v>0</v>
      </c>
      <c r="DN48" s="26">
        <f t="shared" si="2"/>
        <v>0</v>
      </c>
      <c r="DO48" s="26">
        <f t="shared" si="3"/>
        <v>0</v>
      </c>
      <c r="DP48" s="26">
        <f t="shared" si="4"/>
        <v>40</v>
      </c>
      <c r="DQ48" s="26">
        <f t="shared" si="5"/>
        <v>0</v>
      </c>
      <c r="DR48" s="26">
        <f t="shared" si="6"/>
        <v>0</v>
      </c>
      <c r="DS48" s="26">
        <f t="shared" si="7"/>
        <v>0</v>
      </c>
      <c r="DT48" s="26">
        <f t="shared" si="8"/>
        <v>40</v>
      </c>
      <c r="DU48" s="26">
        <f t="shared" si="9"/>
        <v>0</v>
      </c>
      <c r="DV48" s="27">
        <f>CY48</f>
        <v>10.88</v>
      </c>
      <c r="DW48" s="16">
        <f>CZ48</f>
        <v>0.54</v>
      </c>
      <c r="DX48" s="16">
        <f>DA48</f>
        <v>11.42</v>
      </c>
      <c r="DY48" s="19"/>
      <c r="DZ48" s="28"/>
      <c r="EA48" s="29"/>
      <c r="EE48" s="31"/>
      <c r="EF48" s="31"/>
      <c r="EG48" s="31"/>
      <c r="EH48" s="31"/>
      <c r="EI48" s="31"/>
    </row>
    <row r="49" spans="1:139" s="30" customFormat="1" ht="15" customHeight="1" x14ac:dyDescent="0.3">
      <c r="A49" s="9">
        <v>1351</v>
      </c>
      <c r="B49" s="10"/>
      <c r="C49" s="11" t="s">
        <v>249</v>
      </c>
      <c r="D49" s="12" t="s">
        <v>131</v>
      </c>
      <c r="E49" s="12"/>
      <c r="F49" s="12" t="s">
        <v>250</v>
      </c>
      <c r="G49" s="13" t="s">
        <v>171</v>
      </c>
      <c r="H49" s="14" t="s">
        <v>172</v>
      </c>
      <c r="I49" s="14" t="s">
        <v>173</v>
      </c>
      <c r="J49" s="13" t="s">
        <v>134</v>
      </c>
      <c r="K49" s="13" t="s">
        <v>134</v>
      </c>
      <c r="L49" s="13" t="s">
        <v>195</v>
      </c>
      <c r="M49" s="13" t="s">
        <v>162</v>
      </c>
      <c r="N49" s="15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7"/>
      <c r="AA49" s="18"/>
      <c r="AB49" s="18"/>
      <c r="AC49" s="18"/>
      <c r="AD49" s="18"/>
      <c r="AE49" s="18"/>
      <c r="AF49" s="18"/>
      <c r="AG49" s="18"/>
      <c r="AH49" s="18"/>
      <c r="AI49" s="18"/>
      <c r="AJ49" s="19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20"/>
      <c r="BH49" s="20"/>
      <c r="BI49" s="16"/>
      <c r="BJ49" s="16"/>
      <c r="BK49" s="16"/>
      <c r="BL49" s="16"/>
      <c r="BM49" s="16"/>
      <c r="BN49" s="21"/>
      <c r="BO49" s="16"/>
      <c r="BP49" s="16"/>
      <c r="BQ49" s="16"/>
      <c r="BR49" s="16"/>
      <c r="BS49" s="16"/>
      <c r="BT49" s="16"/>
      <c r="BU49" s="20"/>
      <c r="BV49" s="20"/>
      <c r="BW49" s="20"/>
      <c r="BX49" s="16"/>
      <c r="BY49" s="16"/>
      <c r="BZ49" s="16"/>
      <c r="CA49" s="16"/>
      <c r="CB49" s="16"/>
      <c r="CC49" s="16"/>
      <c r="CD49" s="16"/>
      <c r="CE49" s="16"/>
      <c r="CF49" s="19"/>
      <c r="CG49" s="16"/>
      <c r="CH49" s="16"/>
      <c r="CI49" s="16"/>
      <c r="CJ49" s="16"/>
      <c r="CK49" s="16"/>
      <c r="CL49" s="16"/>
      <c r="CM49" s="16"/>
      <c r="CN49" s="22"/>
      <c r="CO49" s="18"/>
      <c r="CP49" s="18"/>
      <c r="CQ49" s="18"/>
      <c r="CR49" s="18"/>
      <c r="CS49" s="18"/>
      <c r="CT49" s="18"/>
      <c r="CU49" s="18"/>
      <c r="CV49" s="16">
        <v>32</v>
      </c>
      <c r="CW49" s="16">
        <v>1600</v>
      </c>
      <c r="CX49" s="22">
        <f>ROUND(SUM(O49,Q49,S49,U49,W49,Y49,AA49,AC49,AE49,AG49,AI49,AK49,AM49,AO49,AQ49,AS49,AU49,AW49,AY49,BA49,BC49,BE49,BG49,BI49,BK49,BM49,BO49,BQ49,BS49,BU49,BW49,BY49,CA49,CC49,CE49,CG49,CI49,CK49,CM49,CO49,CQ49,CS49,CU49,CW49),2)</f>
        <v>1600</v>
      </c>
      <c r="CY49" s="19">
        <v>435.52</v>
      </c>
      <c r="CZ49" s="16">
        <f>ROUND(CY49*0.05,2)</f>
        <v>21.78</v>
      </c>
      <c r="DA49" s="16">
        <f>ROUND(CY49+CZ49,2)</f>
        <v>457.3</v>
      </c>
      <c r="DB49" s="23">
        <v>32</v>
      </c>
      <c r="DC49" s="26">
        <v>50</v>
      </c>
      <c r="DD49" s="18"/>
      <c r="DE49" s="18"/>
      <c r="DF49" s="18"/>
      <c r="DG49" s="18"/>
      <c r="DH49" s="18"/>
      <c r="DI49" s="18"/>
      <c r="DJ49" s="25">
        <f>CX49</f>
        <v>1600</v>
      </c>
      <c r="DK49" s="25">
        <f t="array" ref="DK49">SUMPRODUCT(--(MOD(COLUMN(N49:CW49)-COLUMN(O49),2)=0), N49:CW49)</f>
        <v>1600</v>
      </c>
      <c r="DL49" s="20">
        <f t="shared" si="0"/>
        <v>1600</v>
      </c>
      <c r="DM49" s="23">
        <f t="shared" si="1"/>
        <v>0</v>
      </c>
      <c r="DN49" s="26">
        <f t="shared" si="2"/>
        <v>0</v>
      </c>
      <c r="DO49" s="26">
        <f t="shared" si="3"/>
        <v>0</v>
      </c>
      <c r="DP49" s="26">
        <f t="shared" si="4"/>
        <v>1600</v>
      </c>
      <c r="DQ49" s="26">
        <f t="shared" si="5"/>
        <v>0</v>
      </c>
      <c r="DR49" s="26">
        <f t="shared" si="6"/>
        <v>0</v>
      </c>
      <c r="DS49" s="26">
        <f t="shared" si="7"/>
        <v>0</v>
      </c>
      <c r="DT49" s="26">
        <f t="shared" si="8"/>
        <v>1600</v>
      </c>
      <c r="DU49" s="26">
        <f t="shared" si="9"/>
        <v>0</v>
      </c>
      <c r="DV49" s="27">
        <f>CY49</f>
        <v>435.52</v>
      </c>
      <c r="DW49" s="16">
        <f>CZ49</f>
        <v>21.78</v>
      </c>
      <c r="DX49" s="16">
        <f>DA49</f>
        <v>457.3</v>
      </c>
      <c r="DY49" s="19"/>
      <c r="DZ49" s="28"/>
      <c r="EA49" s="29"/>
      <c r="EE49" s="31"/>
      <c r="EF49" s="31"/>
      <c r="EG49" s="31"/>
      <c r="EH49" s="31"/>
      <c r="EI49" s="31"/>
    </row>
  </sheetData>
  <autoFilter ref="A1:EM1" xr:uid="{3F8F5DC8-A343-4DDC-8D47-E6B5366846AF}">
    <sortState xmlns:xlrd2="http://schemas.microsoft.com/office/spreadsheetml/2017/richdata2" ref="A2:EM1352">
      <sortCondition ref="A1"/>
    </sortState>
  </autoFilter>
  <phoneticPr fontId="4" type="noConversion"/>
  <pageMargins left="0.75" right="0.75" top="1" bottom="1" header="0.5" footer="0.5"/>
  <pageSetup paperSize="9" scale="24" orientation="portrait" verticalDpi="0" r:id="rId1"/>
  <colBreaks count="1" manualBreakCount="1">
    <brk id="102" max="120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OFCO INVOICE ALL (4)</vt:lpstr>
      <vt:lpstr>'OFCO INVOICE ALL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민규 차</dc:creator>
  <cp:lastModifiedBy>민규 차</cp:lastModifiedBy>
  <dcterms:created xsi:type="dcterms:W3CDTF">2026-04-22T06:49:39Z</dcterms:created>
  <dcterms:modified xsi:type="dcterms:W3CDTF">2026-04-22T06:50:24Z</dcterms:modified>
</cp:coreProperties>
</file>